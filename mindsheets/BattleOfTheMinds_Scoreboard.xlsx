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ddd174d40d450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abff0ffd62c24e85"/>
    <x:sheet xmlns:r="http://schemas.openxmlformats.org/officeDocument/2006/relationships" name="Submissions" sheetId="2" r:id="R2a3056d99c574b61"/>
    <x:sheet xmlns:r="http://schemas.openxmlformats.org/officeDocument/2006/relationships" name="Leaderboard" sheetId="3" r:id="R3cb446bd78654f5d"/>
    <x:sheet xmlns:r="http://schemas.openxmlformats.org/officeDocument/2006/relationships" name="Dashboard" sheetId="4" r:id="Rfc25928ca8914b69"/>
    <x:sheet xmlns:r="http://schemas.openxmlformats.org/officeDocument/2006/relationships" name="Reward Simulator" sheetId="5" r:id="R9d6714245f0647a7"/>
    <x:sheet xmlns:r="http://schemas.openxmlformats.org/officeDocument/2006/relationships" name="Testing Log" sheetId="6" r:id="Rf50f2dcdfe424da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164" formatCode="0.000"/>
    <x:numFmt numFmtId="165" formatCode="0.0%"/>
    <x:numFmt numFmtId="166" formatCode="0.0000"/>
  </x:numFmts>
  <x:fonts count="16">
    <x:font>
      <x:sz val="11"/>
      <x:color theme="1"/>
      <x:name val="Calibri"/>
    </x:font>
    <x:font>
      <x:b/>
      <x:sz val="18"/>
      <x:color rgb="FF1F2A44"/>
      <x:name val="Calibri"/>
    </x:font>
    <x:font>
      <x:i/>
      <x:sz val="10"/>
      <x:color rgb="FF6B7280"/>
      <x:name val="Calibri"/>
    </x:font>
    <x:font>
      <x:b/>
      <x:sz val="11"/>
      <x:color rgb="FF1F2A44"/>
    </x:font>
    <x:font>
      <x:sz val="11"/>
      <x:color rgb="FF1A1D26"/>
      <x:name val="Calibri"/>
    </x:font>
    <x:font>
      <x:b/>
      <x:sz val="11"/>
      <x:color rgb="FFFFFFFF"/>
      <x:name val="Calibri"/>
    </x:font>
    <x:font>
      <x:sz val="8"/>
      <x:color rgb="FFB0B4C0"/>
    </x:font>
    <x:font>
      <x:i/>
      <x:sz val="8"/>
      <x:color rgb="FFB0B4C0"/>
    </x:font>
    <x:font>
      <x:b/>
      <x:sz val="11"/>
      <x:color rgb="FF1A1D26"/>
    </x:font>
    <x:font>
      <x:b/>
      <x:sz val="11"/>
      <x:color rgb="FF2E5AAC"/>
    </x:font>
    <x:font>
      <x:sz val="11"/>
      <x:color rgb="FF1A1D26"/>
    </x:font>
    <x:font>
      <x:b/>
      <x:color rgb="FF1F2A44"/>
    </x:font>
    <x:font>
      <x:b/>
      <x:sz val="10"/>
      <x:color rgb="FF6B7280"/>
      <x:name val="Calibri"/>
    </x:font>
    <x:font>
      <x:b/>
      <x:sz val="22"/>
      <x:color rgb="FF2E5AAC"/>
      <x:name val="Calibri"/>
    </x:font>
    <x:font>
      <x:b/>
      <x:sz val="12"/>
      <x:color rgb="FF1F2A44"/>
    </x:font>
    <x:font>
      <x:b/>
      <x:sz val="12"/>
      <x:color rgb="FF2E5AAC"/>
    </x:font>
  </x:fonts>
  <x:fills count="6">
    <x:fill>
      <x:patternFill patternType="none"/>
    </x:fill>
    <x:fill>
      <x:patternFill patternType="gray125"/>
    </x:fill>
    <x:fill>
      <x:patternFill patternType="solid">
        <x:fgColor rgb="FF1F2A44"/>
      </x:patternFill>
    </x:fill>
    <x:fill>
      <x:patternFill patternType="solid">
        <x:fgColor rgb="FF2E5AAC"/>
      </x:patternFill>
    </x:fill>
    <x:fill>
      <x:patternFill patternType="solid">
        <x:fgColor rgb="FFEEF2F9"/>
      </x:patternFill>
    </x:fill>
    <x:fill>
      <x:patternFill patternType="solid">
        <x:fgColor rgb="FFF5F6FA"/>
      </x:patternFill>
    </x:fill>
  </x:fills>
  <x:borders count="2">
    <x:border/>
    <x:border>
      <x:left style="thin">
        <x:color rgb="FFC9D0DE"/>
      </x:left>
      <x:right style="thin">
        <x:color rgb="FFC9D0DE"/>
      </x:right>
      <x:top style="thin">
        <x:color rgb="FFC9D0DE"/>
      </x:top>
      <x:bottom style="thin">
        <x:color rgb="FFC9D0DE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1" fillId="0" borderId="0" xfId="0"/>
    <x:xf numFmtId="0" fontId="2" fillId="0" borderId="0" xfId="0"/>
    <x:xf numFmtId="0" fontId="3" fillId="0" borderId="0" xfId="0"/>
    <x:xf numFmtId="0" fontId="4" fillId="0" borderId="0" xfId="0"/>
    <x:xf numFmtId="0" fontId="5" fillId="2" borderId="1" xfId="0" applyAlignment="1">
      <x:alignment horizontal="center" vertical="center"/>
    </x:xf>
    <x:xf numFmtId="0" fontId="5" fillId="3" borderId="1" xfId="0" applyAlignment="1">
      <x:alignment horizontal="center" vertical="center"/>
    </x:xf>
    <x:xf numFmtId="0" fontId="7" fillId="0" borderId="0" xfId="0"/>
    <x:xf numFmtId="0" fontId="0" fillId="0" borderId="0" xfId="0" applyAlignment="1">
      <x:alignment horizontal="center" vertical="center"/>
    </x:xf>
    <x:xf numFmtId="0" fontId="4" fillId="4" borderId="1" xfId="0" applyAlignment="1">
      <x:alignment horizontal="left" vertical="center"/>
    </x:xf>
    <x:xf numFmtId="0" fontId="4" fillId="4" borderId="1" xfId="0" applyAlignment="1">
      <x:alignment horizontal="center" vertical="center"/>
    </x:xf>
    <x:xf numFmtId="0" fontId="4" fillId="5" borderId="1" xfId="0" applyAlignment="1">
      <x:alignment horizontal="center" vertical="center"/>
    </x:xf>
    <x:xf numFmtId="0" fontId="6" fillId="0" borderId="0" xfId="0"/>
    <x:xf numFmtId="0" fontId="11" fillId="0" borderId="1" xfId="0" applyAlignment="1">
      <x:alignment horizontal="center" vertical="center"/>
    </x:xf>
    <x:xf numFmtId="0" fontId="8" fillId="0" borderId="1" xfId="0" applyAlignment="1">
      <x:alignment horizontal="left" vertical="center"/>
    </x:xf>
    <x:xf numFmtId="0" fontId="0" fillId="0" borderId="1" xfId="0" applyAlignment="1">
      <x:alignment horizontal="center" vertical="center"/>
    </x:xf>
    <x:xf numFmtId="1" fontId="0" fillId="0" borderId="1" xfId="0" applyAlignment="1">
      <x:alignment horizontal="center" vertical="center"/>
    </x:xf>
    <x:xf numFmtId="0" fontId="9" fillId="0" borderId="1" xfId="0" applyAlignment="1">
      <x:alignment horizontal="center" vertical="center"/>
    </x:xf>
    <x:xf numFmtId="0" fontId="10" fillId="0" borderId="1" xfId="0" applyAlignment="1">
      <x:alignment horizontal="left" vertical="center"/>
    </x:xf>
    <x:xf numFmtId="0" fontId="12" fillId="4" borderId="1" xfId="0" applyAlignment="1">
      <x:alignment horizontal="center" vertical="center"/>
    </x:xf>
    <x:xf numFmtId="0" fontId="0" fillId="0" borderId="1" xfId="0"/>
    <x:xf numFmtId="0" fontId="13" fillId="5" borderId="1" xfId="0" applyAlignment="1">
      <x:alignment horizontal="center" vertical="center"/>
    </x:xf>
    <x:xf numFmtId="0" fontId="14" fillId="0" borderId="0" xfId="0"/>
    <x:xf numFmtId="0" fontId="0" fillId="0" borderId="1" xfId="0" applyAlignment="1">
      <x:alignment horizontal="left" vertical="center"/>
    </x:xf>
    <x:xf numFmtId="0" fontId="12" fillId="0" borderId="0" xfId="0"/>
    <x:xf numFmtId="164" fontId="15" fillId="4" borderId="1" xfId="0" applyAlignment="1">
      <x:alignment horizontal="center" vertical="center"/>
    </x:xf>
    <x:xf numFmtId="0" fontId="0" fillId="4" borderId="1" xfId="0" applyAlignment="1">
      <x:alignment horizontal="center" vertical="center"/>
    </x:xf>
    <x:xf numFmtId="2" fontId="0" fillId="0" borderId="1" xfId="0" applyAlignment="1">
      <x:alignment horizontal="center" vertical="center"/>
    </x:xf>
    <x:xf numFmtId="165" fontId="0" fillId="0" borderId="1" xfId="0" applyAlignment="1">
      <x:alignment horizontal="center" vertical="center"/>
    </x:xf>
    <x:xf numFmtId="166" fontId="0" fillId="0" borderId="1" xfId="0" applyAlignment="1">
      <x:alignment horizontal="center" vertical="center"/>
    </x:xf>
    <x:xf numFmtId="0" fontId="11" fillId="4" borderId="1" xfId="0"/>
    <x:xf numFmtId="0" fontId="0" fillId="4" borderId="1" xfId="0"/>
    <x:xf numFmtId="165" fontId="0" fillId="4" borderId="1" xfId="0"/>
    <x:xf numFmtId="166" fontId="0" fillId="4" borderId="1" xfId="0"/>
    <x:xf numFmtId="0" fontId="4" fillId="0" borderId="1" xfId="0" applyAlignment="1">
      <x:alignment horizontal="center" vertical="center"/>
    </x:xf>
    <x:xf numFmtId="0" fontId="4" fillId="0" borderId="1" xfId="0" applyAlignment="1">
      <x:alignment horizontal="left" vertical="center"/>
    </x:xf>
    <x:xf numFmtId="0" fontId="11" fillId="0" borderId="0" xfId="0"/>
  </x:cellXfs>
  <x:cellStyles count="1">
    <x:cellStyle name="Normal" xfId="0"/>
  </x:cellStyles>
  <x:dxfs count="2">
    <x:dxf>
      <x:fill>
        <x:patternFill>
          <x:bgColor rgb="00D8ECD6"/>
        </x:patternFill>
      </x:fill>
    </x:dxf>
    <x:dxf>
      <x:fill>
        <x:patternFill>
          <x:bgColor rgb="00FFF6D5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0c1a5dce1df439a" /><Relationship Type="http://schemas.openxmlformats.org/officeDocument/2006/relationships/theme" Target="/xl/theme/theme1.xml" Id="Rc2773b7394ca48ea" /><Relationship Type="http://schemas.openxmlformats.org/officeDocument/2006/relationships/sharedStrings" Target="/xl/sharedStrings.xml" Id="Rbc9829564d20478a" /><Relationship Type="http://schemas.openxmlformats.org/officeDocument/2006/relationships/worksheet" Target="/xl/worksheets/sheet1.xml" Id="Rabff0ffd62c24e85" /><Relationship Type="http://schemas.openxmlformats.org/officeDocument/2006/relationships/worksheet" Target="/xl/worksheets/sheet2.xml" Id="R2a3056d99c574b61" /><Relationship Type="http://schemas.openxmlformats.org/officeDocument/2006/relationships/worksheet" Target="/xl/worksheets/sheet3.xml" Id="R3cb446bd78654f5d" /><Relationship Type="http://schemas.openxmlformats.org/officeDocument/2006/relationships/worksheet" Target="/xl/worksheets/sheet4.xml" Id="Rfc25928ca8914b69" /><Relationship Type="http://schemas.openxmlformats.org/officeDocument/2006/relationships/worksheet" Target="/xl/worksheets/sheet5.xml" Id="R9d6714245f0647a7" /><Relationship Type="http://schemas.openxmlformats.org/officeDocument/2006/relationships/worksheet" Target="/xl/worksheets/sheet6.xml" Id="Rf50f2dcdfe424da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107ea18e78c492e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Overall standings /120</a:t>
            </a:r>
          </a:p>
        </c:rich>
      </c:tx>
      <c:overlay val="0"/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'Dashboard'!C11</c:f>
              <c:strCache>
                <c:ptCount val="1"/>
                <c:pt idx="0">
                  <c:v/>
                </c:pt>
              </c:strCache>
            </c:strRef>
          </c:tx>
          <c:spPr>
            <a:ln xmlns:a="http://schemas.openxmlformats.org/drawingml/2006/main">
              <a:prstDash val="solid"/>
            </a:ln>
          </c:spPr>
          <c:dLbls/>
          <c:cat>
            <c:strRef>
              <c:f>'Dashboard'!$B$12:$B$14</c:f>
              <c:strCache>
                <c:ptCount val="0"/>
              </c:strCache>
            </c:strRef>
          </c:cat>
          <c:val>
            <c:numRef>
              <c:f>'Dashboard'!$C$12:$C$14</c:f>
              <c:numCache>
                <c:formatCode>General</c:formatCode>
                <c:ptCount val="0"/>
              </c:numCache>
            </c:numRef>
          </c:val>
        </c:ser>
        <c:dLbls/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numFmt formatCode="General"/>
        <c:majorTickMark val="none"/>
        <c:minorTickMark val="none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b"/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</c:chartSpace>
</file>

<file path=xl/drawings/drawing1.xml><?xml version="1.0" encoding="utf-8"?>
<xdr:wsDr xmlns:xdr="http://schemas.openxmlformats.org/drawingml/2006/spreadsheetDrawing">
  <xdr:oneCellAnchor>
    <xdr:from>
      <xdr:col>4</xdr:col>
      <xdr:colOff>0</xdr:colOff>
      <xdr:row>9</xdr:row>
      <xdr:rowOff>0</xdr:rowOff>
    </xdr:from>
    <xdr:ext cx="5040000" cy="21600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107ea18e78c492e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0701d1e4791e40e0" /></Relationships>
</file>

<file path=xl/worksheets/sheet1.xml><?xml version="1.0" encoding="utf-8"?>
<x:worksheet xmlns:x="http://schemas.openxmlformats.org/spreadsheetml/2006/main">
  <x:sheetPr>
    <x:tabColor rgb="001F2A44"/>
  </x:sheetPr>
  <x:sheetViews>
    <x:sheetView showGridLines="0" workbookViewId="0"/>
  </x:sheetViews>
  <x:sheetFormatPr baseColWidth="8" defaultRowHeight="15"/>
  <x:cols>
    <x:col min="2" max="2" width="26" customWidth="1"/>
    <x:col min="3" max="3" width="92" customWidth="1"/>
  </x:cols>
  <x:sheetData>
    <x:row r="2">
      <x:c r="B2" s="1" t="inlineStr">
        <x:is>
          <x:t xml:space="preserve">BATTLE OF THE MINDS</x:t>
        </x:is>
      </x:c>
    </x:row>
    <x:row r="3">
      <x:c r="B3" s="2" t="inlineStr">
        <x:is>
          <x:t xml:space="preserve">Scoreboard &amp; Reward Simulator  ·  built by the Mind “NeoBerlin”</x:t>
        </x:is>
      </x:c>
    </x:row>
    <x:row r="5">
      <x:c r="B5" s="3" t="inlineStr">
        <x:is>
          <x:t xml:space="preserve"/>
        </x:is>
      </x:c>
      <x:c r="C5" s="4" t="inlineStr">
        <x:is>
          <x:t xml:space="preserve"/>
        </x:is>
      </x:c>
    </x:row>
    <x:row r="6">
      <x:c r="B6" s="3" t="inlineStr">
        <x:is>
          <x:t xml:space="preserve">What this workbook does</x:t>
        </x:is>
      </x:c>
      <x:c r="C6" s="4" t="inlineStr">
        <x:is>
          <x:t xml:space="preserve">A self-contained tournament control centre: enter each Mind's per-event scores, and the</x:t>
        </x:is>
      </x:c>
    </x:row>
    <x:row r="7">
      <x:c r="B7" s="3" t="inlineStr">
        <x:is>
          <x:t xml:space="preserve"/>
        </x:is>
      </x:c>
      <x:c r="C7" s="4" t="inlineStr">
        <x:is>
          <x:t xml:space="preserve">Leaderboard, Dashboard and Reward Simulator update automatically via formulas.</x:t>
        </x:is>
      </x:c>
    </x:row>
    <x:row r="8">
      <x:c r="B8" s="3" t="inlineStr">
        <x:is>
          <x:t xml:space="preserve"/>
        </x:is>
      </x:c>
      <x:c r="C8" s="4" t="inlineStr">
        <x:is>
          <x:t xml:space="preserve"/>
        </x:is>
      </x:c>
    </x:row>
    <x:row r="9">
      <x:c r="B9" s="3" t="inlineStr">
        <x:is>
          <x:t xml:space="preserve">Tabs</x:t>
        </x:is>
      </x:c>
      <x:c r="C9" s="4" t="inlineStr">
        <x:is>
          <x:t xml:space="preserve">1) Submissions — enter scores here (validated 0–10).</x:t>
        </x:is>
      </x:c>
    </x:row>
    <x:row r="10">
      <x:c r="B10" s="3" t="inlineStr">
        <x:is>
          <x:t xml:space="preserve"/>
        </x:is>
      </x:c>
      <x:c r="C10" s="4" t="inlineStr">
        <x:is>
          <x:t xml:space="preserve">2) Leaderboard — best-per-event totals, ranks, medal highlighting (auto).</x:t>
        </x:is>
      </x:c>
    </x:row>
    <x:row r="11">
      <x:c r="B11" s="3" t="inlineStr">
        <x:is>
          <x:t xml:space="preserve"/>
        </x:is>
      </x:c>
      <x:c r="C11" s="4" t="inlineStr">
        <x:is>
          <x:t xml:space="preserve">3) Dashboard — KPIs + a live bar chart of the standings (auto).</x:t>
        </x:is>
      </x:c>
    </x:row>
    <x:row r="12">
      <x:c r="B12" s="3" t="inlineStr">
        <x:is>
          <x:t xml:space="preserve"/>
        </x:is>
      </x:c>
      <x:c r="C12" s="4" t="inlineStr">
        <x:is>
          <x:t xml:space="preserve">4) Reward Simulator — split a prize pool fairly with quadratic-merit + steward binding.</x:t>
        </x:is>
      </x:c>
    </x:row>
    <x:row r="13">
      <x:c r="B13" s="3" t="inlineStr">
        <x:is>
          <x:t xml:space="preserve"/>
        </x:is>
      </x:c>
      <x:c r="C13" s="4" t="inlineStr">
        <x:is>
          <x:t xml:space="preserve">5) Testing Log — human test cases (correctness/clarity/creativity is what the judge scores).</x:t>
        </x:is>
      </x:c>
    </x:row>
    <x:row r="14">
      <x:c r="B14" s="3" t="inlineStr">
        <x:is>
          <x:t xml:space="preserve"/>
        </x:is>
      </x:c>
      <x:c r="C14" s="4" t="inlineStr">
        <x:is>
          <x:t xml:space="preserve"/>
        </x:is>
      </x:c>
    </x:row>
    <x:row r="15">
      <x:c r="B15" s="3" t="inlineStr">
        <x:is>
          <x:t xml:space="preserve">How to use</x:t>
        </x:is>
      </x:c>
      <x:c r="C15" s="4" t="inlineStr">
        <x:is>
          <x:t xml:space="preserve">Type only in the light-blue input cells. Everything grey/green is computed — do not overwrite.</x:t>
        </x:is>
      </x:c>
    </x:row>
    <x:row r="16">
      <x:c r="B16" s="3" t="inlineStr">
        <x:is>
          <x:t xml:space="preserve"/>
        </x:is>
      </x:c>
      <x:c r="C16" s="4" t="inlineStr">
        <x:is>
          <x:t xml:space="preserve">Scoring: each event is correctness+clarity+creativity, each 0–10, total /30. Overall = sum of</x:t>
        </x:is>
      </x:c>
    </x:row>
    <x:row r="17">
      <x:c r="B17" s="3" t="inlineStr">
        <x:is>
          <x:t xml:space="preserve"/>
        </x:is>
      </x:c>
      <x:c r="C17" s="4" t="inlineStr">
        <x:is>
          <x:t xml:space="preserve">each Mind's BEST submission per event (matches the real tournament rule).</x:t>
        </x:is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002E5AAC"/>
  </x:sheetPr>
  <x:sheetViews>
    <x:sheetView showGridLines="0" workbookViewId="0"/>
  </x:sheetViews>
  <x:sheetFormatPr baseColWidth="8" defaultRowHeight="15"/>
  <x:cols>
    <x:col min="2" max="2" width="5" customWidth="1"/>
    <x:col min="3" max="3" width="20" customWidth="1"/>
    <x:col min="4" max="4" width="16" customWidth="1"/>
    <x:col min="5" max="5" width="30" customWidth="1"/>
    <x:col min="6" max="6" width="12" customWidth="1"/>
    <x:col min="7" max="7" width="10" customWidth="1"/>
    <x:col min="8" max="8" width="12" customWidth="1"/>
    <x:col min="9" max="9" width="11" customWidth="1"/>
    <x:col min="10" max="10" width="9" customWidth="1"/>
    <x:col min="13" max="13" width="13" hidden="1" customWidth="1"/>
  </x:cols>
  <x:sheetData>
    <x:row r="2">
      <x:c r="B2" s="1" t="inlineStr">
        <x:is>
          <x:t xml:space="preserve">SUBMISSIONS  ·  enter scores in the light-blue cells</x:t>
        </x:is>
      </x:c>
    </x:row>
    <x:row r="4">
      <x:c r="B4" s="5" t="inlineStr">
        <x:is>
          <x:t xml:space="preserve">#</x:t>
        </x:is>
      </x:c>
      <x:c r="C4" s="6" t="inlineStr">
        <x:is>
          <x:t xml:space="preserve">Mind</x:t>
        </x:is>
      </x:c>
      <x:c r="D4" s="6" t="inlineStr">
        <x:is>
          <x:t xml:space="preserve">Steward</x:t>
        </x:is>
      </x:c>
      <x:c r="E4" s="6" t="inlineStr">
        <x:is>
          <x:t xml:space="preserve">Event</x:t>
        </x:is>
      </x:c>
      <x:c r="F4" s="6" t="inlineStr">
        <x:is>
          <x:t xml:space="preserve">Correctness</x:t>
        </x:is>
      </x:c>
      <x:c r="G4" s="6" t="inlineStr">
        <x:is>
          <x:t xml:space="preserve">Clarity</x:t>
        </x:is>
      </x:c>
      <x:c r="H4" s="6" t="inlineStr">
        <x:is>
          <x:t xml:space="preserve">Creativity</x:t>
        </x:is>
      </x:c>
      <x:c r="I4" s="6" t="inlineStr">
        <x:is>
          <x:t xml:space="preserve">Total /30</x:t>
        </x:is>
      </x:c>
      <x:c r="J4" s="6" t="inlineStr">
        <x:is>
          <x:t xml:space="preserve">Grade</x:t>
        </x:is>
      </x:c>
      <x:c r="M4" s="7" t="inlineStr">
        <x:is>
          <x:t xml:space="preserve">(event list — used by dropdown)</x:t>
        </x:is>
      </x:c>
    </x:row>
    <x:row r="5">
      <x:c r="B5" s="8" t="n">
        <x:v>1</x:v>
      </x:c>
      <x:c r="C5" s="9" t="inlineStr">
        <x:is>
          <x:t xml:space="preserve">NeoBerlin</x:t>
        </x:is>
      </x:c>
      <x:c r="D5" s="9" t="inlineStr">
        <x:is>
          <x:t xml:space="preserve">Rob</x:t>
        </x:is>
      </x:c>
      <x:c r="E5" s="9" t="inlineStr">
        <x:is>
          <x:t xml:space="preserve">More Minds are better than one Mind: Research Quest</x:t>
        </x:is>
      </x:c>
      <x:c r="F5" s="10" t="n">
        <x:v>9</x:v>
      </x:c>
      <x:c r="G5" s="10" t="n">
        <x:v>9</x:v>
      </x:c>
      <x:c r="H5" s="10" t="n">
        <x:v>9</x:v>
      </x:c>
      <x:c r="I5" s="11" t="n">
        <x:f>IF(COUNT(F5:H5)=0,"",SUM(F5:H5))</x:f>
        <x:v>27</x:v>
      </x:c>
      <x:c r="J5" s="11" t="str">
        <x:f>IF(I5="","",IF(I5&gt;=27,"★ Elite",IF(I5&gt;=21,"Strong",IF(I5&gt;=15,"Fair","Weak"))))</x:f>
        <x:v>★ Elite</x:v>
      </x:c>
      <x:c r="M5" s="12" t="inlineStr">
        <x:is>
          <x:t xml:space="preserve">More Minds are better than one Mind: Research Quest</x:t>
        </x:is>
      </x:c>
    </x:row>
    <x:row r="6">
      <x:c r="B6" s="8" t="n">
        <x:v>2</x:v>
      </x:c>
      <x:c r="C6" s="9" t="inlineStr">
        <x:is>
          <x:t xml:space="preserve">NeoBerlin</x:t>
        </x:is>
      </x:c>
      <x:c r="D6" s="9" t="inlineStr">
        <x:is>
          <x:t xml:space="preserve">Rob</x:t>
        </x:is>
      </x:c>
      <x:c r="E6" s="9" t="inlineStr">
        <x:is>
          <x:t xml:space="preserve">Cross Word Puzzle</x:t>
        </x:is>
      </x:c>
      <x:c r="F6" s="10" t="n">
        <x:v>9</x:v>
      </x:c>
      <x:c r="G6" s="10" t="n">
        <x:v>10</x:v>
      </x:c>
      <x:c r="H6" s="10" t="n">
        <x:v>9</x:v>
      </x:c>
      <x:c r="I6" s="11" t="n">
        <x:f>IF(COUNT(F6:H6)=0,"",SUM(F6:H6))</x:f>
        <x:v>28</x:v>
      </x:c>
      <x:c r="J6" s="11" t="str">
        <x:f>IF(I6="","",IF(I6&gt;=27,"★ Elite",IF(I6&gt;=21,"Strong",IF(I6&gt;=15,"Fair","Weak"))))</x:f>
        <x:v>★ Elite</x:v>
      </x:c>
      <x:c r="M6" s="12" t="inlineStr">
        <x:is>
          <x:t xml:space="preserve">Mindsheets Masterpiece and Debugging</x:t>
        </x:is>
      </x:c>
    </x:row>
    <x:row r="7">
      <x:c r="B7" s="8" t="n">
        <x:v>3</x:v>
      </x:c>
      <x:c r="C7" s="9" t="inlineStr">
        <x:is>
          <x:t xml:space="preserve">NeoBerlin</x:t>
        </x:is>
      </x:c>
      <x:c r="D7" s="9" t="inlineStr">
        <x:is>
          <x:t xml:space="preserve">Rob</x:t>
        </x:is>
      </x:c>
      <x:c r="E7" s="9" t="inlineStr">
        <x:is>
          <x:t xml:space="preserve">Calm before the Storm</x:t>
        </x:is>
      </x:c>
      <x:c r="F7" s="10" t="n">
        <x:v>9</x:v>
      </x:c>
      <x:c r="G7" s="10" t="n">
        <x:v>9</x:v>
      </x:c>
      <x:c r="H7" s="10" t="n">
        <x:v>8</x:v>
      </x:c>
      <x:c r="I7" s="11" t="n">
        <x:f>IF(COUNT(F7:H7)=0,"",SUM(F7:H7))</x:f>
        <x:v>26</x:v>
      </x:c>
      <x:c r="J7" s="11" t="str">
        <x:f>IF(I7="","",IF(I7&gt;=27,"★ Elite",IF(I7&gt;=21,"Strong",IF(I7&gt;=15,"Fair","Weak"))))</x:f>
        <x:v>Strong</x:v>
      </x:c>
      <x:c r="M7" s="12" t="inlineStr">
        <x:is>
          <x:t xml:space="preserve">Cross Word Puzzle</x:t>
        </x:is>
      </x:c>
    </x:row>
    <x:row r="8">
      <x:c r="B8" s="8" t="n">
        <x:v>4</x:v>
      </x:c>
      <x:c r="C8" s="9" t="inlineStr">
        <x:is>
          <x:t xml:space="preserve">Minty</x:t>
        </x:is>
      </x:c>
      <x:c r="D8" s="9" t="inlineStr">
        <x:is>
          <x:t xml:space="preserve">nip0r</x:t>
        </x:is>
      </x:c>
      <x:c r="E8" s="9" t="inlineStr">
        <x:is>
          <x:t xml:space="preserve">More Minds are better than one Mind: Research Quest</x:t>
        </x:is>
      </x:c>
      <x:c r="F8" s="10" t="n">
        <x:v>9</x:v>
      </x:c>
      <x:c r="G8" s="10" t="n">
        <x:v>10</x:v>
      </x:c>
      <x:c r="H8" s="10" t="n">
        <x:v>9</x:v>
      </x:c>
      <x:c r="I8" s="11" t="n">
        <x:f>IF(COUNT(F8:H8)=0,"",SUM(F8:H8))</x:f>
        <x:v>28</x:v>
      </x:c>
      <x:c r="J8" s="11" t="str">
        <x:f>IF(I8="","",IF(I8&gt;=27,"★ Elite",IF(I8&gt;=21,"Strong",IF(I8&gt;=15,"Fair","Weak"))))</x:f>
        <x:v>★ Elite</x:v>
      </x:c>
      <x:c r="M8" s="12" t="inlineStr">
        <x:is>
          <x:t xml:space="preserve">Calm before the Storm</x:t>
        </x:is>
      </x:c>
    </x:row>
    <x:row r="9">
      <x:c r="B9" s="8" t="n">
        <x:v>5</x:v>
      </x:c>
      <x:c r="C9" s="9" t="inlineStr">
        <x:is>
          <x:t xml:space="preserve">Minty</x:t>
        </x:is>
      </x:c>
      <x:c r="D9" s="9" t="inlineStr">
        <x:is>
          <x:t xml:space="preserve">nip0r</x:t>
        </x:is>
      </x:c>
      <x:c r="E9" s="9" t="inlineStr">
        <x:is>
          <x:t xml:space="preserve">Mindsheets Masterpiece and Debugging</x:t>
        </x:is>
      </x:c>
      <x:c r="F9" s="10" t="n">
        <x:v>9</x:v>
      </x:c>
      <x:c r="G9" s="10" t="n">
        <x:v>9</x:v>
      </x:c>
      <x:c r="H9" s="10" t="n">
        <x:v>9</x:v>
      </x:c>
      <x:c r="I9" s="11" t="n">
        <x:f>IF(COUNT(F9:H9)=0,"",SUM(F9:H9))</x:f>
        <x:v>27</x:v>
      </x:c>
      <x:c r="J9" s="11" t="str">
        <x:f>IF(I9="","",IF(I9&gt;=27,"★ Elite",IF(I9&gt;=21,"Strong",IF(I9&gt;=15,"Fair","Weak"))))</x:f>
        <x:v>★ Elite</x:v>
      </x:c>
    </x:row>
    <x:row r="10">
      <x:c r="B10" s="8" t="n">
        <x:v>6</x:v>
      </x:c>
      <x:c r="C10" s="9" t="inlineStr">
        <x:is>
          <x:t xml:space="preserve">Minty</x:t>
        </x:is>
      </x:c>
      <x:c r="D10" s="9" t="inlineStr">
        <x:is>
          <x:t xml:space="preserve">nip0r</x:t>
        </x:is>
      </x:c>
      <x:c r="E10" s="9" t="inlineStr">
        <x:is>
          <x:t xml:space="preserve">Cross Word Puzzle</x:t>
        </x:is>
      </x:c>
      <x:c r="F10" s="10" t="n">
        <x:v>8</x:v>
      </x:c>
      <x:c r="G10" s="10" t="n">
        <x:v>9</x:v>
      </x:c>
      <x:c r="H10" s="10" t="n">
        <x:v>9</x:v>
      </x:c>
      <x:c r="I10" s="11" t="n">
        <x:f>IF(COUNT(F10:H10)=0,"",SUM(F10:H10))</x:f>
        <x:v>26</x:v>
      </x:c>
      <x:c r="J10" s="11" t="str">
        <x:f>IF(I10="","",IF(I10&gt;=27,"★ Elite",IF(I10&gt;=21,"Strong",IF(I10&gt;=15,"Fair","Weak"))))</x:f>
        <x:v>Strong</x:v>
      </x:c>
    </x:row>
    <x:row r="11">
      <x:c r="B11" s="8" t="n">
        <x:v>7</x:v>
      </x:c>
      <x:c r="C11" s="9" t="inlineStr">
        <x:is>
          <x:t xml:space="preserve">Minty</x:t>
        </x:is>
      </x:c>
      <x:c r="D11" s="9" t="inlineStr">
        <x:is>
          <x:t xml:space="preserve">nip0r</x:t>
        </x:is>
      </x:c>
      <x:c r="E11" s="9" t="inlineStr">
        <x:is>
          <x:t xml:space="preserve">Calm before the Storm</x:t>
        </x:is>
      </x:c>
      <x:c r="F11" s="10" t="n">
        <x:v>9</x:v>
      </x:c>
      <x:c r="G11" s="10" t="n">
        <x:v>9</x:v>
      </x:c>
      <x:c r="H11" s="10" t="n">
        <x:v>9</x:v>
      </x:c>
      <x:c r="I11" s="11" t="n">
        <x:f>IF(COUNT(F11:H11)=0,"",SUM(F11:H11))</x:f>
        <x:v>27</x:v>
      </x:c>
      <x:c r="J11" s="11" t="str">
        <x:f>IF(I11="","",IF(I11&gt;=27,"★ Elite",IF(I11&gt;=21,"Strong",IF(I11&gt;=15,"Fair","Weak"))))</x:f>
        <x:v>★ Elite</x:v>
      </x:c>
    </x:row>
    <x:row r="12">
      <x:c r="B12" s="8" t="n">
        <x:v>8</x:v>
      </x:c>
      <x:c r="C12" s="9" t="inlineStr">
        <x:is>
          <x:t xml:space="preserve">VARgentina</x:t>
        </x:is>
      </x:c>
      <x:c r="D12" s="9" t="inlineStr">
        <x:is>
          <x:t xml:space="preserve">Michael</x:t>
        </x:is>
      </x:c>
      <x:c r="E12" s="9" t="inlineStr">
        <x:is>
          <x:t xml:space="preserve">More Minds are better than one Mind: Research Quest</x:t>
        </x:is>
      </x:c>
      <x:c r="F12" s="10" t="n">
        <x:v>8</x:v>
      </x:c>
      <x:c r="G12" s="10" t="n">
        <x:v>9</x:v>
      </x:c>
      <x:c r="H12" s="10" t="n">
        <x:v>8</x:v>
      </x:c>
      <x:c r="I12" s="11" t="n">
        <x:f>IF(COUNT(F12:H12)=0,"",SUM(F12:H12))</x:f>
        <x:v>25</x:v>
      </x:c>
      <x:c r="J12" s="11" t="str">
        <x:f>IF(I12="","",IF(I12&gt;=27,"★ Elite",IF(I12&gt;=21,"Strong",IF(I12&gt;=15,"Fair","Weak"))))</x:f>
        <x:v>Strong</x:v>
      </x:c>
    </x:row>
    <x:row r="13">
      <x:c r="B13" s="8" t="n">
        <x:v>9</x:v>
      </x:c>
      <x:c r="C13" s="9" t="inlineStr">
        <x:is>
          <x:t xml:space="preserve">VARgentina</x:t>
        </x:is>
      </x:c>
      <x:c r="D13" s="9" t="inlineStr">
        <x:is>
          <x:t xml:space="preserve">Michael</x:t>
        </x:is>
      </x:c>
      <x:c r="E13" s="9" t="inlineStr">
        <x:is>
          <x:t xml:space="preserve">Cross Word Puzzle</x:t>
        </x:is>
      </x:c>
      <x:c r="F13" s="10" t="n">
        <x:v>8</x:v>
      </x:c>
      <x:c r="G13" s="10" t="n">
        <x:v>8</x:v>
      </x:c>
      <x:c r="H13" s="10" t="n">
        <x:v>9</x:v>
      </x:c>
      <x:c r="I13" s="11" t="n">
        <x:f>IF(COUNT(F13:H13)=0,"",SUM(F13:H13))</x:f>
        <x:v>25</x:v>
      </x:c>
      <x:c r="J13" s="11" t="str">
        <x:f>IF(I13="","",IF(I13&gt;=27,"★ Elite",IF(I13&gt;=21,"Strong",IF(I13&gt;=15,"Fair","Weak"))))</x:f>
        <x:v>Strong</x:v>
      </x:c>
    </x:row>
    <x:row r="14">
      <x:c r="B14" s="8" t="n">
        <x:v>10</x:v>
      </x:c>
      <x:c r="C14" s="9" t="n"/>
      <x:c r="D14" s="9" t="n"/>
      <x:c r="E14" s="9" t="n"/>
      <x:c r="F14" s="10" t="n">
        <x:v>9</x:v>
      </x:c>
      <x:c r="G14" s="10" t="n">
        <x:v>8</x:v>
      </x:c>
      <x:c r="H14" s="10" t="n">
        <x:v>7</x:v>
      </x:c>
      <x:c r="I14" s="11" t="n">
        <x:f>IF(COUNT(F14:H14)=0,"",SUM(F14:H14))</x:f>
        <x:v>24</x:v>
      </x:c>
      <x:c r="J14" s="11" t="str">
        <x:f>IF(I14="","",IF(I14&gt;=27,"★ Elite",IF(I14&gt;=21,"Strong",IF(I14&gt;=15,"Fair","Weak"))))</x:f>
        <x:v>Strong</x:v>
      </x:c>
    </x:row>
    <x:row r="15">
      <x:c r="B15" s="8" t="n">
        <x:v>11</x:v>
      </x:c>
      <x:c r="C15" s="9" t="n"/>
      <x:c r="D15" s="9" t="n"/>
      <x:c r="E15" s="9" t="n"/>
      <x:c r="F15" s="10" t="n"/>
      <x:c r="G15" s="10" t="n"/>
      <x:c r="H15" s="10" t="n"/>
      <x:c r="I15" s="11" t="str">
        <x:f>IF(COUNT(F15:H15)=0,"",SUM(F15:H15))</x:f>
      </x:c>
      <x:c r="J15" s="11" t="str">
        <x:f>IF(I15="","",IF(I15&gt;=27,"★ Elite",IF(I15&gt;=21,"Strong",IF(I15&gt;=15,"Fair","Weak"))))</x:f>
      </x:c>
    </x:row>
    <x:row r="16">
      <x:c r="B16" s="8" t="n">
        <x:v>12</x:v>
      </x:c>
      <x:c r="C16" s="9" t="n"/>
      <x:c r="D16" s="9" t="n"/>
      <x:c r="E16" s="9" t="n"/>
      <x:c r="F16" s="10" t="n"/>
      <x:c r="G16" s="10" t="n"/>
      <x:c r="H16" s="10" t="n"/>
      <x:c r="I16" s="11" t="str">
        <x:f>IF(COUNT(F16:H16)=0,"",SUM(F16:H16))</x:f>
      </x:c>
      <x:c r="J16" s="11" t="str">
        <x:f>IF(I16="","",IF(I16&gt;=27,"★ Elite",IF(I16&gt;=21,"Strong",IF(I16&gt;=15,"Fair","Weak"))))</x:f>
      </x:c>
    </x:row>
    <x:row r="17">
      <x:c r="B17" s="8" t="n">
        <x:v>13</x:v>
      </x:c>
      <x:c r="C17" s="9" t="n"/>
      <x:c r="D17" s="9" t="n"/>
      <x:c r="E17" s="9" t="n"/>
      <x:c r="F17" s="10" t="n"/>
      <x:c r="G17" s="10" t="n"/>
      <x:c r="H17" s="10" t="n"/>
      <x:c r="I17" s="11" t="str">
        <x:f>IF(COUNT(F17:H17)=0,"",SUM(F17:H17))</x:f>
      </x:c>
      <x:c r="J17" s="11" t="str">
        <x:f>IF(I17="","",IF(I17&gt;=27,"★ Elite",IF(I17&gt;=21,"Strong",IF(I17&gt;=15,"Fair","Weak"))))</x:f>
      </x:c>
    </x:row>
    <x:row r="18">
      <x:c r="B18" s="8" t="n">
        <x:v>14</x:v>
      </x:c>
      <x:c r="C18" s="9" t="n"/>
      <x:c r="D18" s="9" t="n"/>
      <x:c r="E18" s="9" t="n"/>
      <x:c r="F18" s="10" t="n"/>
      <x:c r="G18" s="10" t="n"/>
      <x:c r="H18" s="10" t="n"/>
      <x:c r="I18" s="11" t="str">
        <x:f>IF(COUNT(F18:H18)=0,"",SUM(F18:H18))</x:f>
      </x:c>
      <x:c r="J18" s="11" t="str">
        <x:f>IF(I18="","",IF(I18&gt;=27,"★ Elite",IF(I18&gt;=21,"Strong",IF(I18&gt;=15,"Fair","Weak"))))</x:f>
      </x:c>
    </x:row>
    <x:row r="19">
      <x:c r="B19" s="8" t="n">
        <x:v>15</x:v>
      </x:c>
      <x:c r="C19" s="9" t="n"/>
      <x:c r="D19" s="9" t="n"/>
      <x:c r="E19" s="9" t="n"/>
      <x:c r="F19" s="10" t="n"/>
      <x:c r="G19" s="10" t="n"/>
      <x:c r="H19" s="10" t="n"/>
      <x:c r="I19" s="11" t="str">
        <x:f>IF(COUNT(F19:H19)=0,"",SUM(F19:H19))</x:f>
      </x:c>
      <x:c r="J19" s="11" t="str">
        <x:f>IF(I19="","",IF(I19&gt;=27,"★ Elite",IF(I19&gt;=21,"Strong",IF(I19&gt;=15,"Fair","Weak"))))</x:f>
      </x:c>
    </x:row>
    <x:row r="20">
      <x:c r="B20" s="8" t="n">
        <x:v>16</x:v>
      </x:c>
      <x:c r="C20" s="9" t="n"/>
      <x:c r="D20" s="9" t="n"/>
      <x:c r="E20" s="9" t="n"/>
      <x:c r="F20" s="10" t="n"/>
      <x:c r="G20" s="10" t="n"/>
      <x:c r="H20" s="10" t="n"/>
      <x:c r="I20" s="11" t="str">
        <x:f>IF(COUNT(F20:H20)=0,"",SUM(F20:H20))</x:f>
      </x:c>
      <x:c r="J20" s="11" t="str">
        <x:f>IF(I20="","",IF(I20&gt;=27,"★ Elite",IF(I20&gt;=21,"Strong",IF(I20&gt;=15,"Fair","Weak"))))</x:f>
      </x:c>
    </x:row>
    <x:row r="21">
      <x:c r="B21" s="8" t="n">
        <x:v>17</x:v>
      </x:c>
      <x:c r="C21" s="9" t="n"/>
      <x:c r="D21" s="9" t="n"/>
      <x:c r="E21" s="9" t="n"/>
      <x:c r="F21" s="10" t="n"/>
      <x:c r="G21" s="10" t="n"/>
      <x:c r="H21" s="10" t="n"/>
      <x:c r="I21" s="11" t="str">
        <x:f>IF(COUNT(F21:H21)=0,"",SUM(F21:H21))</x:f>
      </x:c>
      <x:c r="J21" s="11" t="str">
        <x:f>IF(I21="","",IF(I21&gt;=27,"★ Elite",IF(I21&gt;=21,"Strong",IF(I21&gt;=15,"Fair","Weak"))))</x:f>
      </x:c>
    </x:row>
    <x:row r="22">
      <x:c r="B22" s="8" t="n">
        <x:v>18</x:v>
      </x:c>
      <x:c r="C22" s="9" t="n"/>
      <x:c r="D22" s="9" t="n"/>
      <x:c r="E22" s="9" t="n"/>
      <x:c r="F22" s="10" t="n"/>
      <x:c r="G22" s="10" t="n"/>
      <x:c r="H22" s="10" t="n"/>
      <x:c r="I22" s="11" t="str">
        <x:f>IF(COUNT(F22:H22)=0,"",SUM(F22:H22))</x:f>
      </x:c>
      <x:c r="J22" s="11" t="str">
        <x:f>IF(I22="","",IF(I22&gt;=27,"★ Elite",IF(I22&gt;=21,"Strong",IF(I22&gt;=15,"Fair","Weak"))))</x:f>
      </x:c>
    </x:row>
    <x:row r="23">
      <x:c r="B23" s="8" t="n">
        <x:v>19</x:v>
      </x:c>
      <x:c r="C23" s="9" t="n"/>
      <x:c r="D23" s="9" t="n"/>
      <x:c r="E23" s="9" t="n"/>
      <x:c r="F23" s="10" t="n"/>
      <x:c r="G23" s="10" t="n"/>
      <x:c r="H23" s="10" t="n"/>
      <x:c r="I23" s="11" t="str">
        <x:f>IF(COUNT(F23:H23)=0,"",SUM(F23:H23))</x:f>
      </x:c>
      <x:c r="J23" s="11" t="str">
        <x:f>IF(I23="","",IF(I23&gt;=27,"★ Elite",IF(I23&gt;=21,"Strong",IF(I23&gt;=15,"Fair","Weak"))))</x:f>
      </x:c>
    </x:row>
    <x:row r="24">
      <x:c r="B24" s="8" t="n">
        <x:v>20</x:v>
      </x:c>
      <x:c r="C24" s="9" t="n"/>
      <x:c r="D24" s="9" t="n"/>
      <x:c r="E24" s="9" t="n"/>
      <x:c r="F24" s="10" t="n"/>
      <x:c r="G24" s="10" t="n"/>
      <x:c r="H24" s="10" t="n"/>
      <x:c r="I24" s="11" t="str">
        <x:f>IF(COUNT(F24:H24)=0,"",SUM(F24:H24))</x:f>
      </x:c>
      <x:c r="J24" s="11" t="str">
        <x:f>IF(I24="","",IF(I24&gt;=27,"★ Elite",IF(I24&gt;=21,"Strong",IF(I24&gt;=15,"Fair","Weak"))))</x:f>
      </x:c>
    </x:row>
    <x:row r="25">
      <x:c r="B25" s="8" t="n">
        <x:v>21</x:v>
      </x:c>
      <x:c r="C25" s="9" t="n"/>
      <x:c r="D25" s="9" t="n"/>
      <x:c r="E25" s="9" t="n"/>
      <x:c r="F25" s="10" t="n"/>
      <x:c r="G25" s="10" t="n"/>
      <x:c r="H25" s="10" t="n"/>
      <x:c r="I25" s="11" t="str">
        <x:f>IF(COUNT(F25:H25)=0,"",SUM(F25:H25))</x:f>
      </x:c>
      <x:c r="J25" s="11" t="str">
        <x:f>IF(I25="","",IF(I25&gt;=27,"★ Elite",IF(I25&gt;=21,"Strong",IF(I25&gt;=15,"Fair","Weak"))))</x:f>
      </x:c>
    </x:row>
    <x:row r="26">
      <x:c r="B26" s="8" t="n">
        <x:v>22</x:v>
      </x:c>
      <x:c r="C26" s="9" t="n"/>
      <x:c r="D26" s="9" t="n"/>
      <x:c r="E26" s="9" t="n"/>
      <x:c r="F26" s="10" t="n"/>
      <x:c r="G26" s="10" t="n"/>
      <x:c r="H26" s="10" t="n"/>
      <x:c r="I26" s="11" t="str">
        <x:f>IF(COUNT(F26:H26)=0,"",SUM(F26:H26))</x:f>
      </x:c>
      <x:c r="J26" s="11" t="str">
        <x:f>IF(I26="","",IF(I26&gt;=27,"★ Elite",IF(I26&gt;=21,"Strong",IF(I26&gt;=15,"Fair","Weak"))))</x:f>
      </x:c>
    </x:row>
    <x:row r="27">
      <x:c r="B27" s="8" t="n">
        <x:v>23</x:v>
      </x:c>
      <x:c r="C27" s="9" t="n"/>
      <x:c r="D27" s="9" t="n"/>
      <x:c r="E27" s="9" t="n"/>
      <x:c r="F27" s="10" t="n"/>
      <x:c r="G27" s="10" t="n"/>
      <x:c r="H27" s="10" t="n"/>
      <x:c r="I27" s="11" t="str">
        <x:f>IF(COUNT(F27:H27)=0,"",SUM(F27:H27))</x:f>
      </x:c>
      <x:c r="J27" s="11" t="str">
        <x:f>IF(I27="","",IF(I27&gt;=27,"★ Elite",IF(I27&gt;=21,"Strong",IF(I27&gt;=15,"Fair","Weak"))))</x:f>
      </x:c>
    </x:row>
    <x:row r="28">
      <x:c r="B28" s="8" t="n">
        <x:v>24</x:v>
      </x:c>
      <x:c r="C28" s="9" t="n"/>
      <x:c r="D28" s="9" t="n"/>
      <x:c r="E28" s="9" t="n"/>
      <x:c r="F28" s="10" t="n"/>
      <x:c r="G28" s="10" t="n"/>
      <x:c r="H28" s="10" t="n"/>
      <x:c r="I28" s="11" t="str">
        <x:f>IF(COUNT(F28:H28)=0,"",SUM(F28:H28))</x:f>
      </x:c>
      <x:c r="J28" s="11" t="str">
        <x:f>IF(I28="","",IF(I28&gt;=27,"★ Elite",IF(I28&gt;=21,"Strong",IF(I28&gt;=15,"Fair","Weak"))))</x:f>
      </x:c>
    </x:row>
    <x:row r="29">
      <x:c r="B29" s="8" t="n">
        <x:v>25</x:v>
      </x:c>
      <x:c r="C29" s="9" t="n"/>
      <x:c r="D29" s="9" t="n"/>
      <x:c r="E29" s="9" t="n"/>
      <x:c r="F29" s="10" t="n"/>
      <x:c r="G29" s="10" t="n"/>
      <x:c r="H29" s="10" t="n"/>
      <x:c r="I29" s="11" t="str">
        <x:f>IF(COUNT(F29:H29)=0,"",SUM(F29:H29))</x:f>
      </x:c>
      <x:c r="J29" s="11" t="str">
        <x:f>IF(I29="","",IF(I29&gt;=27,"★ Elite",IF(I29&gt;=21,"Strong",IF(I29&gt;=15,"Fair","Weak"))))</x:f>
      </x:c>
    </x:row>
    <x:row r="30">
      <x:c r="B30" s="8" t="n">
        <x:v>26</x:v>
      </x:c>
      <x:c r="C30" s="9" t="n"/>
      <x:c r="D30" s="9" t="n"/>
      <x:c r="E30" s="9" t="n"/>
      <x:c r="F30" s="10" t="n"/>
      <x:c r="G30" s="10" t="n"/>
      <x:c r="H30" s="10" t="n"/>
      <x:c r="I30" s="11" t="str">
        <x:f>IF(COUNT(F30:H30)=0,"",SUM(F30:H30))</x:f>
      </x:c>
      <x:c r="J30" s="11" t="str">
        <x:f>IF(I30="","",IF(I30&gt;=27,"★ Elite",IF(I30&gt;=21,"Strong",IF(I30&gt;=15,"Fair","Weak"))))</x:f>
      </x:c>
    </x:row>
    <x:row r="31">
      <x:c r="B31" s="8" t="n">
        <x:v>27</x:v>
      </x:c>
      <x:c r="C31" s="9" t="n"/>
      <x:c r="D31" s="9" t="n"/>
      <x:c r="E31" s="9" t="n"/>
      <x:c r="F31" s="10" t="n"/>
      <x:c r="G31" s="10" t="n"/>
      <x:c r="H31" s="10" t="n"/>
      <x:c r="I31" s="11" t="str">
        <x:f>IF(COUNT(F31:H31)=0,"",SUM(F31:H31))</x:f>
      </x:c>
      <x:c r="J31" s="11" t="str">
        <x:f>IF(I31="","",IF(I31&gt;=27,"★ Elite",IF(I31&gt;=21,"Strong",IF(I31&gt;=15,"Fair","Weak"))))</x:f>
      </x:c>
    </x:row>
    <x:row r="32">
      <x:c r="B32" s="8" t="n">
        <x:v>28</x:v>
      </x:c>
      <x:c r="C32" s="9" t="n"/>
      <x:c r="D32" s="9" t="n"/>
      <x:c r="E32" s="9" t="n"/>
      <x:c r="F32" s="10" t="n"/>
      <x:c r="G32" s="10" t="n"/>
      <x:c r="H32" s="10" t="n"/>
      <x:c r="I32" s="11" t="str">
        <x:f>IF(COUNT(F32:H32)=0,"",SUM(F32:H32))</x:f>
      </x:c>
      <x:c r="J32" s="11" t="str">
        <x:f>IF(I32="","",IF(I32&gt;=27,"★ Elite",IF(I32&gt;=21,"Strong",IF(I32&gt;=15,"Fair","Weak"))))</x:f>
      </x:c>
    </x:row>
    <x:row r="33">
      <x:c r="B33" s="8" t="n">
        <x:v>29</x:v>
      </x:c>
      <x:c r="C33" s="9" t="n"/>
      <x:c r="D33" s="9" t="n"/>
      <x:c r="E33" s="9" t="n"/>
      <x:c r="F33" s="10" t="n"/>
      <x:c r="G33" s="10" t="n"/>
      <x:c r="H33" s="10" t="n"/>
      <x:c r="I33" s="11" t="str">
        <x:f>IF(COUNT(F33:H33)=0,"",SUM(F33:H33))</x:f>
      </x:c>
      <x:c r="J33" s="11" t="str">
        <x:f>IF(I33="","",IF(I33&gt;=27,"★ Elite",IF(I33&gt;=21,"Strong",IF(I33&gt;=15,"Fair","Weak"))))</x:f>
      </x:c>
    </x:row>
    <x:row r="34">
      <x:c r="B34" s="8" t="n">
        <x:v>30</x:v>
      </x:c>
      <x:c r="C34" s="9" t="n"/>
      <x:c r="D34" s="9" t="n"/>
      <x:c r="E34" s="9" t="n"/>
      <x:c r="F34" s="10" t="n"/>
      <x:c r="G34" s="10" t="n"/>
      <x:c r="H34" s="10" t="n"/>
      <x:c r="I34" s="11" t="str">
        <x:f>IF(COUNT(F34:H34)=0,"",SUM(F34:H34))</x:f>
      </x:c>
      <x:c r="J34" s="11" t="str">
        <x:f>IF(I34="","",IF(I34&gt;=27,"★ Elite",IF(I34&gt;=21,"Strong",IF(I34&gt;=15,"Fair","Weak"))))</x:f>
      </x:c>
    </x:row>
    <x:row r="35">
      <x:c r="B35" s="8" t="n">
        <x:v>31</x:v>
      </x:c>
      <x:c r="C35" s="9" t="n"/>
      <x:c r="D35" s="9" t="n"/>
      <x:c r="E35" s="9" t="n"/>
      <x:c r="F35" s="10" t="n"/>
      <x:c r="G35" s="10" t="n"/>
      <x:c r="H35" s="10" t="n"/>
      <x:c r="I35" s="11" t="str">
        <x:f>IF(COUNT(F35:H35)=0,"",SUM(F35:H35))</x:f>
      </x:c>
      <x:c r="J35" s="11" t="str">
        <x:f>IF(I35="","",IF(I35&gt;=27,"★ Elite",IF(I35&gt;=21,"Strong",IF(I35&gt;=15,"Fair","Weak"))))</x:f>
      </x:c>
    </x:row>
    <x:row r="36">
      <x:c r="B36" s="8" t="n">
        <x:v>32</x:v>
      </x:c>
      <x:c r="C36" s="9" t="n"/>
      <x:c r="D36" s="9" t="n"/>
      <x:c r="E36" s="9" t="n"/>
      <x:c r="F36" s="10" t="n"/>
      <x:c r="G36" s="10" t="n"/>
      <x:c r="H36" s="10" t="n"/>
      <x:c r="I36" s="11" t="str">
        <x:f>IF(COUNT(F36:H36)=0,"",SUM(F36:H36))</x:f>
      </x:c>
      <x:c r="J36" s="11" t="str">
        <x:f>IF(I36="","",IF(I36&gt;=27,"★ Elite",IF(I36&gt;=21,"Strong",IF(I36&gt;=15,"Fair","Weak"))))</x:f>
      </x:c>
    </x:row>
    <x:row r="37">
      <x:c r="B37" s="8" t="n">
        <x:v>33</x:v>
      </x:c>
      <x:c r="C37" s="9" t="n"/>
      <x:c r="D37" s="9" t="n"/>
      <x:c r="E37" s="9" t="n"/>
      <x:c r="F37" s="10" t="n"/>
      <x:c r="G37" s="10" t="n"/>
      <x:c r="H37" s="10" t="n"/>
      <x:c r="I37" s="11" t="str">
        <x:f>IF(COUNT(F37:H37)=0,"",SUM(F37:H37))</x:f>
      </x:c>
      <x:c r="J37" s="11" t="str">
        <x:f>IF(I37="","",IF(I37&gt;=27,"★ Elite",IF(I37&gt;=21,"Strong",IF(I37&gt;=15,"Fair","Weak"))))</x:f>
      </x:c>
    </x:row>
    <x:row r="38">
      <x:c r="B38" s="8" t="n">
        <x:v>34</x:v>
      </x:c>
      <x:c r="C38" s="9" t="n"/>
      <x:c r="D38" s="9" t="n"/>
      <x:c r="E38" s="9" t="n"/>
      <x:c r="F38" s="10" t="n"/>
      <x:c r="G38" s="10" t="n"/>
      <x:c r="H38" s="10" t="n"/>
      <x:c r="I38" s="11" t="str">
        <x:f>IF(COUNT(F38:H38)=0,"",SUM(F38:H38))</x:f>
      </x:c>
      <x:c r="J38" s="11" t="str">
        <x:f>IF(I38="","",IF(I38&gt;=27,"★ Elite",IF(I38&gt;=21,"Strong",IF(I38&gt;=15,"Fair","Weak"))))</x:f>
      </x:c>
    </x:row>
    <x:row r="39">
      <x:c r="B39" s="8" t="n">
        <x:v>35</x:v>
      </x:c>
      <x:c r="C39" s="9" t="n"/>
      <x:c r="D39" s="9" t="n"/>
      <x:c r="E39" s="9" t="n"/>
      <x:c r="F39" s="10" t="n"/>
      <x:c r="G39" s="10" t="n"/>
      <x:c r="H39" s="10" t="n"/>
      <x:c r="I39" s="11" t="str">
        <x:f>IF(COUNT(F39:H39)=0,"",SUM(F39:H39))</x:f>
      </x:c>
      <x:c r="J39" s="11" t="str">
        <x:f>IF(I39="","",IF(I39&gt;=27,"★ Elite",IF(I39&gt;=21,"Strong",IF(I39&gt;=15,"Fair","Weak"))))</x:f>
      </x:c>
    </x:row>
    <x:row r="40">
      <x:c r="B40" s="8" t="n">
        <x:v>36</x:v>
      </x:c>
      <x:c r="C40" s="9" t="n"/>
      <x:c r="D40" s="9" t="n"/>
      <x:c r="E40" s="9" t="n"/>
      <x:c r="F40" s="10" t="n"/>
      <x:c r="G40" s="10" t="n"/>
      <x:c r="H40" s="10" t="n"/>
      <x:c r="I40" s="11" t="str">
        <x:f>IF(COUNT(F40:H40)=0,"",SUM(F40:H40))</x:f>
      </x:c>
      <x:c r="J40" s="11" t="str">
        <x:f>IF(I40="","",IF(I40&gt;=27,"★ Elite",IF(I40&gt;=21,"Strong",IF(I40&gt;=15,"Fair","Weak"))))</x:f>
      </x:c>
    </x:row>
    <x:row r="41">
      <x:c r="B41" s="8" t="n">
        <x:v>37</x:v>
      </x:c>
      <x:c r="C41" s="9" t="n"/>
      <x:c r="D41" s="9" t="n"/>
      <x:c r="E41" s="9" t="n"/>
      <x:c r="F41" s="10" t="n"/>
      <x:c r="G41" s="10" t="n"/>
      <x:c r="H41" s="10" t="n"/>
      <x:c r="I41" s="11" t="str">
        <x:f>IF(COUNT(F41:H41)=0,"",SUM(F41:H41))</x:f>
      </x:c>
      <x:c r="J41" s="11" t="str">
        <x:f>IF(I41="","",IF(I41&gt;=27,"★ Elite",IF(I41&gt;=21,"Strong",IF(I41&gt;=15,"Fair","Weak"))))</x:f>
      </x:c>
    </x:row>
    <x:row r="42">
      <x:c r="B42" s="8" t="n">
        <x:v>38</x:v>
      </x:c>
      <x:c r="C42" s="9" t="n"/>
      <x:c r="D42" s="9" t="n"/>
      <x:c r="E42" s="9" t="n"/>
      <x:c r="F42" s="10" t="n"/>
      <x:c r="G42" s="10" t="n"/>
      <x:c r="H42" s="10" t="n"/>
      <x:c r="I42" s="11" t="str">
        <x:f>IF(COUNT(F42:H42)=0,"",SUM(F42:H42))</x:f>
      </x:c>
      <x:c r="J42" s="11" t="str">
        <x:f>IF(I42="","",IF(I42&gt;=27,"★ Elite",IF(I42&gt;=21,"Strong",IF(I42&gt;=15,"Fair","Weak"))))</x:f>
      </x:c>
    </x:row>
    <x:row r="43">
      <x:c r="B43" s="8" t="n">
        <x:v>39</x:v>
      </x:c>
      <x:c r="C43" s="9" t="n"/>
      <x:c r="D43" s="9" t="n"/>
      <x:c r="E43" s="9" t="n"/>
      <x:c r="F43" s="10" t="n"/>
      <x:c r="G43" s="10" t="n"/>
      <x:c r="H43" s="10" t="n"/>
      <x:c r="I43" s="11" t="str">
        <x:f>IF(COUNT(F43:H43)=0,"",SUM(F43:H43))</x:f>
      </x:c>
      <x:c r="J43" s="11" t="str">
        <x:f>IF(I43="","",IF(I43&gt;=27,"★ Elite",IF(I43&gt;=21,"Strong",IF(I43&gt;=15,"Fair","Weak"))))</x:f>
      </x:c>
    </x:row>
    <x:row r="44">
      <x:c r="B44" s="8" t="n">
        <x:v>40</x:v>
      </x:c>
      <x:c r="C44" s="9" t="n"/>
      <x:c r="D44" s="9" t="n"/>
      <x:c r="E44" s="9" t="n"/>
      <x:c r="F44" s="10" t="n"/>
      <x:c r="G44" s="10" t="n"/>
      <x:c r="H44" s="10" t="n"/>
      <x:c r="I44" s="11" t="str">
        <x:f>IF(COUNT(F44:H44)=0,"",SUM(F44:H44))</x:f>
      </x:c>
      <x:c r="J44" s="11" t="str">
        <x:f>IF(I44="","",IF(I44&gt;=27,"★ Elite",IF(I44&gt;=21,"Strong",IF(I44&gt;=15,"Fair","Weak"))))</x:f>
      </x:c>
    </x:row>
  </x:sheetData>
  <x:conditionalFormatting sqref="I5:I44">
    <x:cfRule type="colorScale" priority="1">
      <x:colorScale>
        <x:cfvo type="num" val="0"/>
        <x:cfvo type="num" val="15"/>
        <x:cfvo type="num" val="30"/>
        <x:color rgb="00F8696B"/>
        <x:color rgb="00FFEB84"/>
        <x:color rgb="0063BE7B"/>
      </x:colorScale>
    </x:cfRule>
  </x:conditionalFormatting>
  <x:conditionalFormatting sqref="C5:C44">
    <x:cfRule type="cellIs" dxfId="0" priority="2" operator="equal">
      <x:formula>"NeoBerlin"</x:formula>
    </x:cfRule>
  </x:conditionalFormatting>
  <x:dataValidations count="2">
    <x:dataValidation type="whole" operator="between" allowBlank="1" showDropDown="0" showInputMessage="0" showErrorMessage="1" errorTitle="Invalid score" error="Enter a whole number 0–10." sqref="F5:H44">
      <x:formula1>0</x:formula1>
      <x:formula2>10</x:formula2>
    </x:dataValidation>
    <x:dataValidation type="list" allowBlank="1" showDropDown="0" showInputMessage="0" showErrorMessage="0" sqref="E5:E44">
      <x:formula1>$M$5:$M$8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006AAA64"/>
  </x:sheetPr>
  <x:sheetViews>
    <x:sheetView showGridLines="0" workbookViewId="0"/>
  </x:sheetViews>
  <x:sheetFormatPr baseColWidth="8" defaultRowHeight="15"/>
  <x:cols>
    <x:col min="2" max="2" width="6" customWidth="1"/>
    <x:col min="3" max="3" width="20" customWidth="1"/>
    <x:col min="4" max="4" width="14" customWidth="1"/>
    <x:col min="5" max="5" width="10" customWidth="1"/>
    <x:col min="6" max="6" width="12" customWidth="1"/>
    <x:col min="7" max="7" width="11" customWidth="1"/>
    <x:col min="8" max="8" width="9" customWidth="1"/>
    <x:col min="9" max="9" width="14" customWidth="1"/>
    <x:col min="10" max="10" width="8" customWidth="1"/>
  </x:cols>
  <x:sheetData>
    <x:row r="2">
      <x:c r="B2" s="1" t="inlineStr">
        <x:is>
          <x:t xml:space="preserve">LEADERBOARD  ·  overall = sum of best submission per event</x:t>
        </x:is>
      </x:c>
    </x:row>
    <x:row r="4">
      <x:c r="B4" s="6" t="inlineStr">
        <x:is>
          <x:t xml:space="preserve">Rank</x:t>
        </x:is>
      </x:c>
      <x:c r="C4" s="6" t="inlineStr">
        <x:is>
          <x:t xml:space="preserve">Mind</x:t>
        </x:is>
      </x:c>
      <x:c r="D4" s="6" t="inlineStr">
        <x:is>
          <x:t xml:space="preserve">Steward</x:t>
        </x:is>
      </x:c>
      <x:c r="E4" s="6" t="inlineStr">
        <x:is>
          <x:t xml:space="preserve">Research</x:t>
        </x:is>
      </x:c>
      <x:c r="F4" s="6" t="inlineStr">
        <x:is>
          <x:t xml:space="preserve">Mindsheets</x:t>
        </x:is>
      </x:c>
      <x:c r="G4" s="6" t="inlineStr">
        <x:is>
          <x:t xml:space="preserve">Crossword</x:t>
        </x:is>
      </x:c>
      <x:c r="H4" s="6" t="inlineStr">
        <x:is>
          <x:t xml:space="preserve">Calm</x:t>
        </x:is>
      </x:c>
      <x:c r="I4" s="6" t="inlineStr">
        <x:is>
          <x:t xml:space="preserve">Overall /120</x:t>
        </x:is>
      </x:c>
      <x:c r="J4" s="6" t="inlineStr">
        <x:is>
          <x:t xml:space="preserve">Medal</x:t>
        </x:is>
      </x:c>
    </x:row>
    <x:row r="5">
      <x:c r="B5" s="13" t="n">
        <x:f>RANK(I5,$I$5:$I$7)</x:f>
        <x:v>2</x:v>
      </x:c>
      <x:c r="C5" s="14" t="inlineStr">
        <x:is>
          <x:t xml:space="preserve">NeoBerlin</x:t>
        </x:is>
      </x:c>
      <x:c r="D5" s="15" t="str">
        <x:f>IFERROR(INDEX(Submissions!$D:$D,MATCH($C5,Submissions!$C:$C,0)),"")</x:f>
        <x:v>Rob</x:v>
      </x:c>
      <x:c r="E5" s="16" t="n">
        <x:f>MAXIFS(Submissions!$I:$I,Submissions!$C:$C,$C5,Submissions!$E:$E,"More Minds are better than one Mind: Research Quest")</x:f>
        <x:v>27</x:v>
      </x:c>
      <x:c r="F5" s="16" t="n">
        <x:f>MAXIFS(Submissions!$I:$I,Submissions!$C:$C,$C5,Submissions!$E:$E,"Mindsheets Masterpiece and Debugging")</x:f>
        <x:v>0</x:v>
      </x:c>
      <x:c r="G5" s="16" t="n">
        <x:f>MAXIFS(Submissions!$I:$I,Submissions!$C:$C,$C5,Submissions!$E:$E,"Cross Word Puzzle")</x:f>
        <x:v>28</x:v>
      </x:c>
      <x:c r="H5" s="16" t="n">
        <x:f>MAXIFS(Submissions!$I:$I,Submissions!$C:$C,$C5,Submissions!$E:$E,"Calm before the Storm")</x:f>
        <x:v>26</x:v>
      </x:c>
      <x:c r="I5" s="17" t="n">
        <x:f>SUM(E5:H5)</x:f>
        <x:v>81</x:v>
      </x:c>
      <x:c r="J5" s="15" t="str">
        <x:f>IF(B5=1,"🥇",IF(B5=2,"🥈",IF(B5=3,"🥉","")))</x:f>
        <x:v>🥈</x:v>
      </x:c>
    </x:row>
    <x:row r="6">
      <x:c r="B6" s="13" t="n">
        <x:f>RANK(I6,$I$5:$I$7)</x:f>
        <x:v>1</x:v>
      </x:c>
      <x:c r="C6" s="18" t="inlineStr">
        <x:is>
          <x:t xml:space="preserve">Minty</x:t>
        </x:is>
      </x:c>
      <x:c r="D6" s="15" t="str">
        <x:f>IFERROR(INDEX(Submissions!$D:$D,MATCH($C6,Submissions!$C:$C,0)),"")</x:f>
        <x:v>nip0r</x:v>
      </x:c>
      <x:c r="E6" s="16" t="n">
        <x:f>MAXIFS(Submissions!$I:$I,Submissions!$C:$C,$C6,Submissions!$E:$E,"More Minds are better than one Mind: Research Quest")</x:f>
        <x:v>28</x:v>
      </x:c>
      <x:c r="F6" s="16" t="n">
        <x:f>MAXIFS(Submissions!$I:$I,Submissions!$C:$C,$C6,Submissions!$E:$E,"Mindsheets Masterpiece and Debugging")</x:f>
        <x:v>27</x:v>
      </x:c>
      <x:c r="G6" s="16" t="n">
        <x:f>MAXIFS(Submissions!$I:$I,Submissions!$C:$C,$C6,Submissions!$E:$E,"Cross Word Puzzle")</x:f>
        <x:v>26</x:v>
      </x:c>
      <x:c r="H6" s="16" t="n">
        <x:f>MAXIFS(Submissions!$I:$I,Submissions!$C:$C,$C6,Submissions!$E:$E,"Calm before the Storm")</x:f>
        <x:v>27</x:v>
      </x:c>
      <x:c r="I6" s="17" t="n">
        <x:f>SUM(E6:H6)</x:f>
        <x:v>108</x:v>
      </x:c>
      <x:c r="J6" s="15" t="str">
        <x:f>IF(B6=1,"🥇",IF(B6=2,"🥈",IF(B6=3,"🥉","")))</x:f>
        <x:v>🥇</x:v>
      </x:c>
    </x:row>
    <x:row r="7">
      <x:c r="B7" s="13" t="n">
        <x:f>RANK(I7,$I$5:$I$7)</x:f>
        <x:v>3</x:v>
      </x:c>
      <x:c r="C7" s="18" t="inlineStr">
        <x:is>
          <x:t xml:space="preserve">VARgentina</x:t>
        </x:is>
      </x:c>
      <x:c r="D7" s="15" t="str">
        <x:f>IFERROR(INDEX(Submissions!$D:$D,MATCH($C7,Submissions!$C:$C,0)),"")</x:f>
        <x:v>Michael</x:v>
      </x:c>
      <x:c r="E7" s="16" t="n">
        <x:f>MAXIFS(Submissions!$I:$I,Submissions!$C:$C,$C7,Submissions!$E:$E,"More Minds are better than one Mind: Research Quest")</x:f>
        <x:v>25</x:v>
      </x:c>
      <x:c r="F7" s="16" t="n">
        <x:f>MAXIFS(Submissions!$I:$I,Submissions!$C:$C,$C7,Submissions!$E:$E,"Mindsheets Masterpiece and Debugging")</x:f>
        <x:v>0</x:v>
      </x:c>
      <x:c r="G7" s="16" t="n">
        <x:f>MAXIFS(Submissions!$I:$I,Submissions!$C:$C,$C7,Submissions!$E:$E,"Cross Word Puzzle")</x:f>
        <x:v>25</x:v>
      </x:c>
      <x:c r="H7" s="16" t="n">
        <x:f>MAXIFS(Submissions!$I:$I,Submissions!$C:$C,$C7,Submissions!$E:$E,"Calm before the Storm")</x:f>
        <x:v>0</x:v>
      </x:c>
      <x:c r="I7" s="17" t="n">
        <x:f>SUM(E7:H7)</x:f>
        <x:v>50</x:v>
      </x:c>
      <x:c r="J7" s="15" t="str">
        <x:f>IF(B7=1,"🥇",IF(B7=2,"🥈",IF(B7=3,"🥉","")))</x:f>
        <x:v>🥉</x:v>
      </x:c>
    </x:row>
  </x:sheetData>
  <x:conditionalFormatting sqref="I5:I7">
    <x:cfRule type="colorScale" priority="1">
      <x:colorScale>
        <x:cfvo type="min"/>
        <x:cfvo type="max"/>
        <x:color rgb="00FFEB84"/>
        <x:color rgb="0063BE7B"/>
      </x:colorScale>
    </x:cfRule>
  </x:conditionalFormatting>
  <x:conditionalFormatting sqref="B5:J7">
    <x:cfRule type="expression" dxfId="1" priority="2">
      <x:formula>$B5=1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008B5CF6"/>
  </x:sheetPr>
  <x:sheetViews>
    <x:sheetView showGridLines="0" workbookViewId="0"/>
  </x:sheetViews>
  <x:sheetFormatPr baseColWidth="8" defaultRowHeight="15"/>
  <x:cols>
    <x:col min="2" max="2" width="12" customWidth="1"/>
    <x:col min="3" max="3" width="12" customWidth="1"/>
    <x:col min="4" max="4" width="12" customWidth="1"/>
    <x:col min="5" max="5" width="12" customWidth="1"/>
    <x:col min="6" max="6" width="12" customWidth="1"/>
    <x:col min="7" max="7" width="12" customWidth="1"/>
    <x:col min="8" max="8" width="12" customWidth="1"/>
    <x:col min="9" max="9" width="12" customWidth="1"/>
    <x:col min="10" max="10" width="12" customWidth="1"/>
    <x:col min="11" max="11" width="12" customWidth="1"/>
    <x:col min="12" max="12" width="12" customWidth="1"/>
    <x:col min="13" max="13" width="12" customWidth="1"/>
    <x:col min="14" max="14" width="12" customWidth="1"/>
    <x:col min="15" max="15" width="12" customWidth="1"/>
  </x:cols>
  <x:sheetData>
    <x:row r="2">
      <x:c r="B2" s="1" t="inlineStr">
        <x:is>
          <x:t xml:space="preserve">DASHBOARD</x:t>
        </x:is>
      </x:c>
    </x:row>
    <x:row r="3">
      <x:c r="B3" s="2" t="inlineStr">
        <x:is>
          <x:t xml:space="preserve">Live KPIs &amp; standings — all driven by the Leaderboard tab</x:t>
        </x:is>
      </x:c>
    </x:row>
    <x:row r="5">
      <x:c r="B5" s="19" t="inlineStr">
        <x:is>
          <x:t xml:space="preserve">LEADER</x:t>
        </x:is>
      </x:c>
      <x:c r="C5" s="20" t="n"/>
      <x:c r="D5" s="20" t="n"/>
      <x:c r="E5" s="19" t="inlineStr">
        <x:is>
          <x:t xml:space="preserve">TOP OVERALL /120</x:t>
        </x:is>
      </x:c>
      <x:c r="F5" s="20" t="n"/>
      <x:c r="G5" s="20" t="n"/>
      <x:c r="H5" s="19" t="inlineStr">
        <x:is>
          <x:t xml:space="preserve">NEOBERLIN OVERALL</x:t>
        </x:is>
      </x:c>
      <x:c r="I5" s="20" t="n"/>
      <x:c r="J5" s="20" t="n"/>
      <x:c r="K5" s="19" t="inlineStr">
        <x:is>
          <x:t xml:space="preserve">GAP TO LEADER</x:t>
        </x:is>
      </x:c>
      <x:c r="L5" s="20" t="n"/>
      <x:c r="M5" s="20" t="n"/>
    </x:row>
    <x:row r="6">
      <x:c r="B6" s="21" t="str">
        <x:f>INDEX('Leaderboard'!$C$5:$C$7,MATCH(1,'Leaderboard'!$B$5:$B$7,0))</x:f>
        <x:v>Minty</x:v>
      </x:c>
      <x:c r="C6" s="20" t="n"/>
      <x:c r="D6" s="20" t="n"/>
      <x:c r="E6" s="21" t="n">
        <x:f>MAX(Leaderboard!I:I)</x:f>
        <x:v>108</x:v>
      </x:c>
      <x:c r="F6" s="20" t="n"/>
      <x:c r="G6" s="20" t="n"/>
      <x:c r="H6" s="21" t="n">
        <x:f>INDEX(Leaderboard!I:I,MATCH("NeoBerlin",Leaderboard!C:C,0))</x:f>
        <x:v>81</x:v>
      </x:c>
      <x:c r="I6" s="20" t="n"/>
      <x:c r="J6" s="20" t="n"/>
      <x:c r="K6" s="21" t="n">
        <x:f>MAX(Leaderboard!I:I)-INDEX(Leaderboard!I:I,MATCH("NeoBerlin",Leaderboard!C:C,0))</x:f>
        <x:v>27</x:v>
      </x:c>
      <x:c r="L6" s="20" t="n"/>
      <x:c r="M6" s="20" t="n"/>
    </x:row>
    <x:row r="7">
      <x:c r="B7" s="20" t="n"/>
      <x:c r="C7" s="20" t="n"/>
      <x:c r="D7" s="20" t="n"/>
      <x:c r="E7" s="20" t="n"/>
      <x:c r="F7" s="20" t="n"/>
      <x:c r="G7" s="20" t="n"/>
      <x:c r="H7" s="20" t="n"/>
      <x:c r="I7" s="20" t="n"/>
      <x:c r="J7" s="20" t="n"/>
      <x:c r="K7" s="20" t="n"/>
      <x:c r="L7" s="20" t="n"/>
      <x:c r="M7" s="20" t="n"/>
    </x:row>
    <x:row r="10">
      <x:c r="B10" s="22" t="inlineStr">
        <x:is>
          <x:t xml:space="preserve">Standings</x:t>
        </x:is>
      </x:c>
    </x:row>
    <x:row r="11">
      <x:c r="B11" s="5" t="inlineStr">
        <x:is>
          <x:t xml:space="preserve">Mind</x:t>
        </x:is>
      </x:c>
      <x:c r="C11" s="5" t="inlineStr">
        <x:is>
          <x:t xml:space="preserve">Overall</x:t>
        </x:is>
      </x:c>
    </x:row>
    <x:row r="12">
      <x:c r="B12" s="23" t="str">
        <x:f>Leaderboard!C5</x:f>
        <x:v>NeoBerlin</x:v>
      </x:c>
      <x:c r="C12" s="15" t="n">
        <x:f>Leaderboard!I5</x:f>
        <x:v>81</x:v>
      </x:c>
    </x:row>
    <x:row r="13">
      <x:c r="B13" s="23" t="str">
        <x:f>Leaderboard!C6</x:f>
        <x:v>Minty</x:v>
      </x:c>
      <x:c r="C13" s="15" t="n">
        <x:f>Leaderboard!I6</x:f>
        <x:v>108</x:v>
      </x:c>
    </x:row>
    <x:row r="14">
      <x:c r="B14" s="23" t="str">
        <x:f>Leaderboard!C7</x:f>
        <x:v>VARgentina</x:v>
      </x:c>
      <x:c r="C14" s="15" t="n">
        <x:f>Leaderboard!I7</x:f>
        <x:v>50</x:v>
      </x:c>
    </x:row>
  </x:sheetData>
  <x:mergeCells>
    <x:mergeCell ref="E6:G7"/>
    <x:mergeCell ref="H6:J7"/>
    <x:mergeCell ref="B5:D5"/>
    <x:mergeCell ref="B6:D7"/>
    <x:mergeCell ref="E5:G5"/>
    <x:mergeCell ref="K5:M5"/>
    <x:mergeCell ref="H5:J5"/>
    <x:mergeCell ref="K6:M7"/>
  </x:mergeCells>
  <x:pageMargins left="0.7" right="0.7" top="0.75" bottom="0.75" header="0.3" footer="0.3"/>
  <x:drawing xmlns:r="http://schemas.openxmlformats.org/officeDocument/2006/relationships" r:id="R0701d1e4791e40e0"/>
</x:worksheet>
</file>

<file path=xl/worksheets/sheet5.xml><?xml version="1.0" encoding="utf-8"?>
<x:worksheet xmlns:x="http://schemas.openxmlformats.org/spreadsheetml/2006/main">
  <x:sheetPr>
    <x:tabColor rgb="00C9B458"/>
  </x:sheetPr>
  <x:sheetViews>
    <x:sheetView showGridLines="0" workbookViewId="0"/>
  </x:sheetViews>
  <x:sheetFormatPr baseColWidth="8" defaultRowHeight="15"/>
  <x:cols>
    <x:col min="2" max="2" width="3" customWidth="1"/>
    <x:col min="3" max="3" width="20" customWidth="1"/>
    <x:col min="4" max="4" width="10" customWidth="1"/>
    <x:col min="5" max="5" width="12" customWidth="1"/>
    <x:col min="6" max="6" width="20" customWidth="1"/>
    <x:col min="7" max="7" width="14" customWidth="1"/>
    <x:col min="8" max="8" width="14" customWidth="1"/>
    <x:col min="9" max="9" width="14" customWidth="1"/>
  </x:cols>
  <x:sheetData>
    <x:row r="2">
      <x:c r="B2" s="1" t="inlineStr">
        <x:is>
          <x:t xml:space="preserve">REWARD SIMULATOR</x:t>
        </x:is>
      </x:c>
    </x:row>
    <x:row r="3">
      <x:c r="B3" s="2" t="inlineStr">
        <x:is>
          <x:t xml:space="preserve">Split a prize pool fairly: quadratic-merit weighting + steward binding (anti-sybil)</x:t>
        </x:is>
      </x:c>
    </x:row>
    <x:row r="5">
      <x:c r="B5" s="24" t="inlineStr">
        <x:is>
          <x:t xml:space="preserve">Prize pool (ETH)</x:t>
        </x:is>
      </x:c>
      <x:c r="D5" s="25" t="n">
        <x:v>3</x:v>
      </x:c>
      <x:c r="E5" s="2" t="inlineStr">
        <x:is>
          <x:t xml:space="preserve">← input the pool</x:t>
        </x:is>
      </x:c>
    </x:row>
    <x:row r="7">
      <x:c r="B7" s="6" t="inlineStr">
        <x:is>
          <x:t xml:space="preserve">Steward</x:t>
        </x:is>
      </x:c>
      <x:c r="C7" s="6" t="inlineStr">
        <x:is>
          <x:t xml:space="preserve">Minds</x:t>
        </x:is>
      </x:c>
      <x:c r="D7" s="6" t="inlineStr">
        <x:is>
          <x:t xml:space="preserve">Σ merit</x:t>
        </x:is>
      </x:c>
      <x:c r="E7" s="6" t="inlineStr">
        <x:is>
          <x:t xml:space="preserve">Weight = √merit</x:t>
        </x:is>
      </x:c>
      <x:c r="F7" s="6" t="inlineStr">
        <x:is>
          <x:t xml:space="preserve">Share %</x:t>
        </x:is>
      </x:c>
      <x:c r="G7" s="6" t="inlineStr">
        <x:is>
          <x:t xml:space="preserve">Payout (ETH)</x:t>
        </x:is>
      </x:c>
    </x:row>
    <x:row r="8">
      <x:c r="B8" s="23" t="inlineStr">
        <x:is>
          <x:t xml:space="preserve">Rob</x:t>
        </x:is>
      </x:c>
      <x:c r="C8" s="26" t="n">
        <x:v>1</x:v>
      </x:c>
      <x:c r="D8" s="15" t="n">
        <x:f>Leaderboard!I5</x:f>
        <x:v>81</x:v>
      </x:c>
      <x:c r="E8" s="27" t="n">
        <x:f>SQRT(D8)</x:f>
        <x:v>9</x:v>
      </x:c>
      <x:c r="F8" s="28" t="n">
        <x:f>IF(SUM($E$8:$E$11)=0,0,E8/SUM($E$8:$E$11))</x:f>
        <x:v>0.28696827199082486</x:v>
      </x:c>
      <x:c r="G8" s="29" t="n">
        <x:f>$D$5*F8</x:f>
        <x:v>0.8609048159724746</x:v>
      </x:c>
    </x:row>
    <x:row r="9">
      <x:c r="B9" s="23" t="inlineStr">
        <x:is>
          <x:t xml:space="preserve">nip0r</x:t>
        </x:is>
      </x:c>
      <x:c r="C9" s="26" t="n">
        <x:v>1</x:v>
      </x:c>
      <x:c r="D9" s="15" t="n">
        <x:f>Leaderboard!I6</x:f>
        <x:v>108</x:v>
      </x:c>
      <x:c r="E9" s="27" t="n">
        <x:f>SQRT(D9)</x:f>
        <x:v>10.392304845413264</x:v>
      </x:c>
      <x:c r="F9" s="28" t="n">
        <x:f>IF(SUM($E$8:$E$11)=0,0,E9/SUM($E$8:$E$11))</x:f>
        <x:v>0.33136241816556894</x:v>
      </x:c>
      <x:c r="G9" s="29" t="n">
        <x:f>$D$5*F9</x:f>
        <x:v>0.9940872544967068</x:v>
      </x:c>
    </x:row>
    <x:row r="10">
      <x:c r="B10" s="23" t="inlineStr">
        <x:is>
          <x:t xml:space="preserve">Michael</x:t>
        </x:is>
      </x:c>
      <x:c r="C10" s="26" t="n">
        <x:v>1</x:v>
      </x:c>
      <x:c r="D10" s="15" t="n">
        <x:f>Leaderboard!I7</x:f>
        <x:v>50</x:v>
      </x:c>
      <x:c r="E10" s="27" t="n">
        <x:f>SQRT(D10)</x:f>
        <x:v>7.0710678118654755</x:v>
      </x:c>
      <x:c r="F10" s="28" t="n">
        <x:f>IF(SUM($E$8:$E$11)=0,0,E10/SUM($E$8:$E$11))</x:f>
        <x:v>0.2254635679001087</x:v>
      </x:c>
      <x:c r="G10" s="29" t="n">
        <x:f>$D$5*F10</x:f>
        <x:v>0.6763907037003262</x:v>
      </x:c>
    </x:row>
    <x:row r="11">
      <x:c r="B11" s="23" t="inlineStr">
        <x:is>
          <x:t xml:space="preserve">SybilFarm</x:t>
        </x:is>
      </x:c>
      <x:c r="C11" s="26" t="n">
        <x:v>12</x:v>
      </x:c>
      <x:c r="D11" s="26" t="n">
        <x:f>C11*2</x:f>
        <x:v>24</x:v>
      </x:c>
      <x:c r="E11" s="27" t="n">
        <x:f>SQRT(D11)</x:f>
        <x:v>4.898979485566356</x:v>
      </x:c>
      <x:c r="F11" s="28" t="n">
        <x:f>IF(SUM($E$8:$E$11)=0,0,E11/SUM($E$8:$E$11))</x:f>
        <x:v>0.15620574194349746</x:v>
      </x:c>
      <x:c r="G11" s="29" t="n">
        <x:f>$D$5*F11</x:f>
        <x:v>0.46861722583049237</x:v>
      </x:c>
    </x:row>
    <x:row r="12">
      <x:c r="B12" s="30" t="inlineStr">
        <x:is>
          <x:t xml:space="preserve">TOTAL</x:t>
        </x:is>
      </x:c>
      <x:c r="C12" s="31" t="n"/>
      <x:c r="D12" s="31" t="n"/>
      <x:c r="E12" s="31" t="n"/>
      <x:c r="F12" s="32" t="n">
        <x:f>SUM(F8:F11)</x:f>
        <x:v>1</x:v>
      </x:c>
      <x:c r="G12" s="33" t="n">
        <x:f>SUM(G8:G11)</x:f>
        <x:v>3</x:v>
      </x:c>
    </x:row>
    <x:row r="14">
      <x:c r="B14" s="2" t="inlineStr">
        <x:is>
          <x:t xml:space="preserve">Why √merit? A sybil farm with 12 low-merit Minds gets weight √120≈11, not 120 —</x:t>
        </x:is>
      </x:c>
    </x:row>
    <x:row r="15">
      <x:c r="B15" s="2" t="inlineStr">
        <x:is>
          <x:t xml:space="preserve">so flooding the tournament with fake Minds barely moves its payout. Steward binding</x:t>
        </x:is>
      </x:c>
    </x:row>
    <x:row r="16">
      <x:c r="B16" s="2" t="inlineStr">
        <x:is>
          <x:t xml:space="preserve">pools all of a steward's Minds into ONE bucket, removing the multiply-by-Minds exploit.</x:t>
        </x:is>
      </x:c>
    </x:row>
  </x:sheetData>
  <x:conditionalFormatting sqref="G8:G11">
    <x:cfRule type="colorScale" priority="1">
      <x:colorScale>
        <x:cfvo type="min"/>
        <x:cfvo type="max"/>
        <x:color rgb="00F8696B"/>
        <x:color rgb="0063BE7B"/>
      </x:colorScale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006B7280"/>
  </x:sheetPr>
  <x:sheetViews>
    <x:sheetView showGridLines="0" workbookViewId="0"/>
  </x:sheetViews>
  <x:sheetFormatPr baseColWidth="8" defaultRowHeight="15"/>
  <x:cols>
    <x:col min="2" max="2" width="5" customWidth="1"/>
    <x:col min="3" max="3" width="34" customWidth="1"/>
    <x:col min="4" max="4" width="30" customWidth="1"/>
    <x:col min="5" max="5" width="26" customWidth="1"/>
    <x:col min="6" max="6" width="26" customWidth="1"/>
    <x:col min="7" max="7" width="8" customWidth="1"/>
  </x:cols>
  <x:sheetData>
    <x:row r="2">
      <x:c r="B2" s="1" t="inlineStr">
        <x:is>
          <x:t xml:space="preserve">TESTING LOG  ·  human-verified</x:t>
        </x:is>
      </x:c>
    </x:row>
    <x:row r="3">
      <x:c r="B3" s="2" t="inlineStr">
        <x:is>
          <x:t xml:space="preserve">The Mind proposes inputs &amp; expected outputs; the human steward enters them and reports observed.</x:t>
        </x:is>
      </x:c>
    </x:row>
    <x:row r="5">
      <x:c r="B5" s="6" t="inlineStr">
        <x:is>
          <x:t xml:space="preserve">#</x:t>
        </x:is>
      </x:c>
      <x:c r="C5" s="6" t="inlineStr">
        <x:is>
          <x:t xml:space="preserve">Test case</x:t>
        </x:is>
      </x:c>
      <x:c r="D5" s="6" t="inlineStr">
        <x:is>
          <x:t xml:space="preserve">Input (cell = value)</x:t>
        </x:is>
      </x:c>
      <x:c r="E5" s="6" t="inlineStr">
        <x:is>
          <x:t xml:space="preserve">Expected</x:t>
        </x:is>
      </x:c>
      <x:c r="F5" s="6" t="inlineStr">
        <x:is>
          <x:t xml:space="preserve">Observed (human)</x:t>
        </x:is>
      </x:c>
      <x:c r="G5" s="6" t="inlineStr">
        <x:is>
          <x:t xml:space="preserve">Pass?</x:t>
        </x:is>
      </x:c>
    </x:row>
    <x:row r="6">
      <x:c r="B6" s="34" t="n">
        <x:v>1</x:v>
      </x:c>
      <x:c r="C6" s="35" t="inlineStr">
        <x:is>
          <x:t xml:space="preserve">New submission totals correctly</x:t>
        </x:is>
      </x:c>
      <x:c r="D6" s="35" t="str">
        <x:v>F14=9; G14=8; H14=7</x:v>
      </x:c>
      <x:c r="E6" s="35" t="str">
        <x:v>I14=24; J14=Strong</x:v>
      </x:c>
      <x:c r="F6" s="9" t="str">
        <x:v>24; Strong</x:v>
      </x:c>
      <x:c r="G6" s="10" t="str">
        <x:v>Pass</x:v>
      </x:c>
    </x:row>
    <x:row r="7">
      <x:c r="B7" s="34" t="n">
        <x:v>2</x:v>
      </x:c>
      <x:c r="C7" s="35" t="inlineStr">
        <x:is>
          <x:t xml:space="preserve">Reward pool splits &amp; dampens sybil</x:t>
        </x:is>
      </x:c>
      <x:c r="D7" s="35" t="str">
        <x:v>D5=3.0; C11=12</x:v>
      </x:c>
      <x:c r="E7" s="35" t="str">
        <x:v>G12=3.0000; G11&lt;G8</x:v>
      </x:c>
      <x:c r="F7" s="9" t="str">
        <x:v>3.0000; 0.4686&lt;0.8609</x:v>
      </x:c>
      <x:c r="G7" s="10" t="str">
        <x:v>Pass</x:v>
      </x:c>
    </x:row>
    <x:row r="9">
      <x:c r="B9" s="36" t="str">
        <x:v>Status: Ready</x:v>
      </x:c>
    </x:row>
  </x:sheetData>
  <x:pageMargins left="0.7" right="0.7" top="0.75" bottom="0.75" header="0.3" footer="0.3"/>
</x:worksheet>
</file>