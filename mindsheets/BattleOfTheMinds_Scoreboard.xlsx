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<sst xmlns="http://schemas.openxmlformats.org/spreadsheetml/2006/main" count="169" uniqueCount="123">
  <si>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</si>
  <si>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</si>
  <si>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</si>
  <si>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</si>
  <si>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</si>
  <si>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</si>
  <si>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</si>
  <si>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</si>
  <si>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</si>
  <si>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</si>
  <si>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</si>
  <si>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</si>
  <si>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</si>
  <si>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</si>
  <si>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</si>
  <si>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</si>
  <si>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</si>
  <si>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</si>
  <si>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</si>
  <si>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</si>
  <si>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</si>
  <si>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</si>
  <si>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</si>
  <si>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</si>
  <si>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</si>
  <si>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</si>
  <si>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</si>
  <si>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</si>
  <si>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</si>
  <si>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</si>
  <si>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</si>
  <si>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</si>
  <si>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</si>
  <si>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</si>
  <si>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</si>
  <si>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</si>
  <si>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</si>
  <si>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</si>
  <si>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</si>
  <si>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</si>
  <si>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</si>
  <si>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</si>
  <si>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</si>
  <si>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</si>
  <si>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</si>
  <si>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</si>
  <si>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</si>
  <si>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</si>
  <si>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</si>
  <si>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</si>
  <si>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</si>
  <si>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</si>
  <si>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</si>
  <si>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</si>
  <si>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</si>
  <si>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</si>
  <si>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</si>
  <si>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</si>
  <si>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</si>
  <si>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</si>
  <si>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</si>
  <si>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</si>
  <si>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</si>
  <si>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</si>
  <si>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</si>
  <si>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</si>
  <si>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</si>
  <si>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(fictional) A</t>
  </si>
  <si>
    <t xml:space="preserve">(fictional) B</t>
  </si>
  <si>
    <t xml:space="preserve">SybilFarm (illustrative)</t>
  </si>
  <si>
    <t xml:space="preserve">TOTAL</t>
  </si>
  <si>
    <t xml:space="preserve">Why √merit? A sybil farm with 12 low-merit Minds gets weight √120≈11, not 120 —</t>
  </si>
  <si>
    <t xml:space="preserve">so flooding the tournament with fake Minds barely moves its payout. Steward binding</t>
  </si>
  <si>
    <t xml:space="preserve">pools all of a steward's Minds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</si>
  <si>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</si>
  <si>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</si>
  <si>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</si>
  <si>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</si>
  <si>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</si>
  <si>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</si>
  <si>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</si>
  <si>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Recommendation excludes an event with no attempts left</t>
  </si>
  <si>
    <t xml:space="preserve">Next Best Move D7 (Mindsheets Left): 2 -&gt; 0</t>
  </si>
  <si>
    <t xml:space="preserve">D14 switches to 'Calm before the Storm'</t>
  </si>
  <si>
    <t xml:space="preserve">Calm before the Storm (Excel)</t>
  </si>
  <si>
    <t xml:space="preserve">Pass</t>
  </si>
  <si>
    <t xml:space="preserve">EV reacts correctly to a lower spread</t>
  </si>
  <si>
    <t xml:space="preserve">D7 back to 2; G7 (Mindsheets sigma): 4.04 -&gt; 1</t>
  </si>
  <si>
    <t xml:space="preserve">I7 drops 0.97 -&gt; ~0.03; verdict 'low return'; D14 -&gt; Calm</t>
  </si>
  <si>
    <t xml:space="preserve">as expected (Excel)</t>
  </si>
  <si>
    <t xml:space="preserve">Cross-app check: Apple Numbers, first build</t>
  </si>
  <si>
    <t xml:space="preserve">Open build without cached values in Numbers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</si>
  <si>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</si>
  <si>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</si>
  <si>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</si>
  <si>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</si>
  <si>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</si>
  <si>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</si>
  <si>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</si>
  <si>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</si>
  <si>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New submission totals correctly</t>
  </si>
  <si>
    <t xml:space="preserve">Submissions F14=9; G14=8; H14=7</t>
  </si>
  <si>
    <t xml:space="preserve">I14 = 24; Grade = Strong</t>
  </si>
  <si>
    <t xml:space="preserve">24; Strong</t>
  </si>
  <si>
    <t xml:space="preserve">Status: Ready — in Microsoft Excel and LibreOffice Calc, verified by the human steward. Apple Numbers displays every value but does not re-evaluate imported formulas until a cell is edited; that is a Numbers import behaviour, not a formula error, and it is listed above as test 3 (FAIL) and test 4 (PARTIAL) rather than omitted.</t>
  </si>
  <si>
    <t xml:space="preserve">NEXT BEST MOVE  ·  where should the next attempt go?</t>
  </si>
  <si>
    <t xml:space="preserve">Expected value of ONE more attempt, per event. Best/Left/n come straight from the tournament API (GET /api/compete/puzzles and /submissions/me) on 2026-07-28. Only light-blue cells are inputs. mu = average of the last two scores (steward's choice); sigma = spread of all scores so far.</t>
  </si>
  <si>
    <t xml:space="preserve">Best</t>
  </si>
  <si>
    <t xml:space="preserve">Left</t>
  </si>
  <si>
    <t xml:space="preserve">n</t>
  </si>
  <si>
    <t xml:space="preserve">mu (last 2)</t>
  </si>
  <si>
    <t xml:space="preserve">sigma</t>
  </si>
  <si>
    <t xml:space="preserve">P(next &gt; best)</t>
  </si>
  <si>
    <t xml:space="preserve">EV of next attempt</t>
  </si>
  <si>
    <t xml:space="preserve">Verdict</t>
  </si>
  <si>
    <t xml:space="preserve">eligible EV</t>
  </si>
  <si>
    <t xml:space="preserve">EV bar</t>
  </si>
  <si>
    <t xml:space="preserve">More Minds are better than one</t>
  </si>
  <si>
    <t xml:space="preserve">AstroMesh: Minds &amp; MCP</t>
  </si>
  <si>
    <t xml:space="preserve">Minds Building Chatbots</t>
  </si>
  <si>
    <t xml:space="preserve">Mindsheets Masterpiece</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</si>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</sst>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6">
    <numFmt numFmtId="164" formatCode="General"/>
    <numFmt numFmtId="165" formatCode="0"/>
    <numFmt numFmtId="166" formatCode="0.000"/>
    <numFmt numFmtId="167" formatCode="0.00"/>
    <numFmt numFmtId="168" formatCode="0.0%"/>
    <numFmt numFmtId="169" formatCode="0.0000"/>
  </numFmts>
  <fonts count="22">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b val="true"/>
      <sz val="11"/>
      <color rgb="FF1A1D26"/>
      <name val="Cambria"/>
      <family val="0"/>
      <charset val="1"/>
    </font>
    <font>
      <b val="true"/>
      <sz val="11"/>
      <color rgb="FF2E5AAC"/>
      <name val="Cambria"/>
      <family val="0"/>
      <charset val="1"/>
    </font>
    <font>
      <sz val="11"/>
      <color rgb="FF1A1D26"/>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1"/>
      <color rgb="FF6AAA64"/>
      <name val="Cambria"/>
      <family val="0"/>
      <charset val="1"/>
    </font>
    <font>
      <sz val="11"/>
      <color rgb="FF2E5AAC"/>
      <name val="Menlo"/>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5F6FA"/>
      </patternFill>
    </fill>
    <fill>
      <patternFill patternType="solid">
        <fgColor rgb="FFF5F6FA"/>
        <bgColor rgb="FFEEF2F9"/>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8ECD6"/>
        </patternFill>
      </fill>
    </dxf>
    <dxf>
      <fill>
        <patternFill>
          <bgColor rgb="FFFFF6D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EEF2F9"/>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F5F6FA"/>
      <rgbColor rgb="FFD8ECD6"/>
      <rgbColor rgb="FFFFFF99"/>
      <rgbColor rgb="FF99CCFF"/>
      <rgbColor rgb="FFFF99CC"/>
      <rgbColor rgb="FFCC99FF"/>
      <rgbColor rgb="FFD9D9D9"/>
      <rgbColor rgb="FF4F81BD"/>
      <rgbColor rgb="FF33CCCC"/>
      <rgbColor rgb="FF99CC00"/>
      <rgbColor rgb="FFFFCC00"/>
      <rgbColor rgb="FFFF9900"/>
      <rgbColor rgb="FFFF6600"/>
      <rgbColor rgb="FF6B7280"/>
      <rgbColor rgb="FFC9B458"/>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Dashboard!$B$12:$B$14</c:f>
              <c:strCache>
                <c:ptCount val="3"/>
                <c:pt idx="0">
                  <c:v>NeoBerlin</c:v>
                </c:pt>
                <c:pt idx="1">
                  <c:v>Demo-Alpha</c:v>
                </c:pt>
                <c:pt idx="2">
                  <c:v>Demo-Beta</c:v>
                </c:pt>
              </c:strCache>
            </c:strRef>
          </c:cat>
          <c:val>
            <c:numRef>
              <c:f>Dashboard!$C$12:$C$14</c:f>
              <c:numCache>
                <c:formatCode>General</c:formatCode>
                <c:ptCount val="3"/>
                <c:pt idx="0">
                  <c:v>186</c:v>
                </c:pt>
                <c:pt idx="1">
                  <c:v>74</c:v>
                </c:pt>
                <c:pt idx="2">
                  <c:v>43</c:v>
                </c:pt>
              </c:numCache>
            </c:numRef>
          </c:val>
        </c:ser>
        <c:gapWidth val="150"/>
        <c:overlap val="0"/>
        <c:axId val="50949338"/>
        <c:axId val="45396134"/>
      </c:barChart>
      <c:catAx>
        <c:axId val="509493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5396134"/>
        <c:crosses val="autoZero"/>
        <c:auto val="1"/>
        <c:lblAlgn val="ctr"/>
        <c:lblOffset val="100"/>
        <c:noMultiLvlLbl val="0"/>
      </c:catAx>
      <c:valAx>
        <c:axId val="4539613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949338"/>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20"/>
    <col collapsed="false" customWidth="true" hidden="false" outlineLevel="0" max="4" min="4" style="0" width="16"/>
    <col collapsed="false" customWidth="true" hidden="false" outlineLevel="0" max="5" min="5" style="0" width="3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3"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M4" s="7" t="s">
        <v>26</v>
      </c>
    </row>
    <row r="5" customFormat="false" ht="15" hidden="false" customHeight="false" outlineLevel="0" collapsed="false">
      <c r="B5" s="8" t="n">
        <v>1</v>
      </c>
      <c r="C5" s="9" t="s">
        <v>27</v>
      </c>
      <c r="D5" s="9" t="s">
        <v>28</v>
      </c>
      <c r="E5" s="9" t="s">
        <v>29</v>
      </c>
      <c r="F5" s="10" t="n">
        <v>9</v>
      </c>
      <c r="G5" s="10" t="n">
        <v>9</v>
      </c>
      <c r="H5" s="10" t="n">
        <v>10</v>
      </c>
      <c r="I5" s="11" t="n">
        <f aca="false">IF(COUNT(F5:H5)=0,"",SUM(F5:H5))</f>
        <v>28</v>
      </c>
      <c r="J5" s="11" t="str">
        <f aca="false">IF(I5="","",IF(I5&gt;=27,"★ Elite",IF(I5&gt;=21,"Strong",IF(I5&gt;=15,"Fair","Weak"))))</f>
        <v>★ Elite</v>
      </c>
      <c r="K5" s="12" t="n">
        <f aca="false">IF(I5="",0,I5)</f>
        <v>28</v>
      </c>
      <c r="M5" s="12" t="s">
        <v>29</v>
      </c>
    </row>
    <row r="6" customFormat="false" ht="15" hidden="false" customHeight="false" outlineLevel="0" collapsed="false">
      <c r="B6" s="8" t="n">
        <v>2</v>
      </c>
      <c r="C6" s="9" t="s">
        <v>27</v>
      </c>
      <c r="D6" s="9" t="s">
        <v>28</v>
      </c>
      <c r="E6" s="9" t="s">
        <v>30</v>
      </c>
      <c r="F6" s="10" t="n">
        <v>9</v>
      </c>
      <c r="G6" s="10" t="n">
        <v>9</v>
      </c>
      <c r="H6" s="10" t="n">
        <v>10</v>
      </c>
      <c r="I6" s="11" t="n">
        <f aca="false">IF(COUNT(F6:H6)=0,"",SUM(F6:H6))</f>
        <v>28</v>
      </c>
      <c r="J6" s="11" t="str">
        <f aca="false">IF(I6="","",IF(I6&gt;=27,"★ Elite",IF(I6&gt;=21,"Strong",IF(I6&gt;=15,"Fair","Weak"))))</f>
        <v>★ Elite</v>
      </c>
      <c r="K6" s="12" t="n">
        <f aca="false">IF(I6="",0,I6)</f>
        <v>28</v>
      </c>
      <c r="M6" s="12" t="s">
        <v>30</v>
      </c>
    </row>
    <row r="7" customFormat="false" ht="15" hidden="false" customHeight="false" outlineLevel="0" collapsed="false">
      <c r="B7" s="8" t="n">
        <v>3</v>
      </c>
      <c r="C7" s="9" t="s">
        <v>27</v>
      </c>
      <c r="D7" s="9" t="s">
        <v>28</v>
      </c>
      <c r="E7" s="9" t="s">
        <v>31</v>
      </c>
      <c r="F7" s="10" t="n">
        <v>9</v>
      </c>
      <c r="G7" s="10" t="n">
        <v>9</v>
      </c>
      <c r="H7" s="10" t="n">
        <v>9</v>
      </c>
      <c r="I7" s="11" t="n">
        <f aca="false">IF(COUNT(F7:H7)=0,"",SUM(F7:H7))</f>
        <v>27</v>
      </c>
      <c r="J7" s="11" t="str">
        <f aca="false">IF(I7="","",IF(I7&gt;=27,"★ Elite",IF(I7&gt;=21,"Strong",IF(I7&gt;=15,"Fair","Weak"))))</f>
        <v>★ Elite</v>
      </c>
      <c r="K7" s="12" t="n">
        <f aca="false">IF(I7="",0,I7)</f>
        <v>27</v>
      </c>
      <c r="M7" s="12" t="s">
        <v>31</v>
      </c>
    </row>
    <row r="8" customFormat="false" ht="15" hidden="false" customHeight="false" outlineLevel="0" collapsed="false">
      <c r="B8" s="8" t="n">
        <v>4</v>
      </c>
      <c r="C8" s="9" t="s">
        <v>27</v>
      </c>
      <c r="D8" s="9" t="s">
        <v>28</v>
      </c>
      <c r="E8" s="9" t="s">
        <v>32</v>
      </c>
      <c r="F8" s="10" t="n">
        <v>9</v>
      </c>
      <c r="G8" s="10" t="n">
        <v>8</v>
      </c>
      <c r="H8" s="10" t="n">
        <v>9</v>
      </c>
      <c r="I8" s="11" t="n">
        <f aca="false">IF(COUNT(F8:H8)=0,"",SUM(F8:H8))</f>
        <v>26</v>
      </c>
      <c r="J8" s="11" t="str">
        <f aca="false">IF(I8="","",IF(I8&gt;=27,"★ Elite",IF(I8&gt;=21,"Strong",IF(I8&gt;=15,"Fair","Weak"))))</f>
        <v>Strong</v>
      </c>
      <c r="K8" s="12" t="n">
        <f aca="false">IF(I8="",0,I8)</f>
        <v>26</v>
      </c>
      <c r="M8" s="12" t="s">
        <v>32</v>
      </c>
    </row>
    <row r="9" customFormat="false" ht="15" hidden="false" customHeight="false" outlineLevel="0" collapsed="false">
      <c r="B9" s="8" t="n">
        <v>5</v>
      </c>
      <c r="C9" s="9" t="s">
        <v>27</v>
      </c>
      <c r="D9" s="9" t="s">
        <v>28</v>
      </c>
      <c r="E9" s="9" t="s">
        <v>33</v>
      </c>
      <c r="F9" s="10" t="n">
        <v>9</v>
      </c>
      <c r="G9" s="10" t="n">
        <v>9</v>
      </c>
      <c r="H9" s="10" t="n">
        <v>8</v>
      </c>
      <c r="I9" s="11" t="n">
        <f aca="false">IF(COUNT(F9:H9)=0,"",SUM(F9:H9))</f>
        <v>26</v>
      </c>
      <c r="J9" s="11" t="str">
        <f aca="false">IF(I9="","",IF(I9&gt;=27,"★ Elite",IF(I9&gt;=21,"Strong",IF(I9&gt;=15,"Fair","Weak"))))</f>
        <v>Strong</v>
      </c>
      <c r="K9" s="12" t="n">
        <f aca="false">IF(I9="",0,I9)</f>
        <v>26</v>
      </c>
      <c r="M9" s="12" t="s">
        <v>33</v>
      </c>
    </row>
    <row r="10" customFormat="false" ht="15" hidden="false" customHeight="false" outlineLevel="0" collapsed="false">
      <c r="B10" s="8" t="n">
        <v>6</v>
      </c>
      <c r="C10" s="9" t="s">
        <v>27</v>
      </c>
      <c r="D10" s="9" t="s">
        <v>28</v>
      </c>
      <c r="E10" s="9" t="s">
        <v>34</v>
      </c>
      <c r="F10" s="10" t="n">
        <v>9</v>
      </c>
      <c r="G10" s="10" t="n">
        <v>9</v>
      </c>
      <c r="H10" s="10" t="n">
        <v>8</v>
      </c>
      <c r="I10" s="11" t="n">
        <f aca="false">IF(COUNT(F10:H10)=0,"",SUM(F10:H10))</f>
        <v>26</v>
      </c>
      <c r="J10" s="11" t="str">
        <f aca="false">IF(I10="","",IF(I10&gt;=27,"★ Elite",IF(I10&gt;=21,"Strong",IF(I10&gt;=15,"Fair","Weak"))))</f>
        <v>Strong</v>
      </c>
      <c r="K10" s="12" t="n">
        <f aca="false">IF(I10="",0,I10)</f>
        <v>26</v>
      </c>
      <c r="M10" s="12" t="s">
        <v>34</v>
      </c>
    </row>
    <row r="11" customFormat="false" ht="15" hidden="false" customHeight="false" outlineLevel="0" collapsed="false">
      <c r="B11" s="8" t="n">
        <v>7</v>
      </c>
      <c r="C11" s="9" t="s">
        <v>27</v>
      </c>
      <c r="D11" s="9" t="s">
        <v>28</v>
      </c>
      <c r="E11" s="9" t="s">
        <v>35</v>
      </c>
      <c r="F11" s="10" t="n">
        <v>8</v>
      </c>
      <c r="G11" s="10" t="n">
        <v>9</v>
      </c>
      <c r="H11" s="10" t="n">
        <v>8</v>
      </c>
      <c r="I11" s="11" t="n">
        <f aca="false">IF(COUNT(F11:H11)=0,"",SUM(F11:H11))</f>
        <v>25</v>
      </c>
      <c r="J11" s="11" t="str">
        <f aca="false">IF(I11="","",IF(I11&gt;=27,"★ Elite",IF(I11&gt;=21,"Strong",IF(I11&gt;=15,"Fair","Weak"))))</f>
        <v>Strong</v>
      </c>
      <c r="K11" s="12" t="n">
        <f aca="false">IF(I11="",0,I11)</f>
        <v>25</v>
      </c>
      <c r="M11" s="12" t="s">
        <v>35</v>
      </c>
    </row>
    <row r="12" customFormat="false" ht="15" hidden="false" customHeight="false" outlineLevel="0" collapsed="false">
      <c r="B12" s="8" t="n">
        <v>8</v>
      </c>
      <c r="C12" s="9" t="s">
        <v>36</v>
      </c>
      <c r="D12" s="9" t="s">
        <v>37</v>
      </c>
      <c r="E12" s="9" t="s">
        <v>29</v>
      </c>
      <c r="F12" s="10" t="n">
        <v>8</v>
      </c>
      <c r="G12" s="10" t="n">
        <v>9</v>
      </c>
      <c r="H12" s="10" t="n">
        <v>8</v>
      </c>
      <c r="I12" s="11" t="n">
        <f aca="false">IF(COUNT(F12:H12)=0,"",SUM(F12:H12))</f>
        <v>25</v>
      </c>
      <c r="J12" s="11" t="str">
        <f aca="false">IF(I12="","",IF(I12&gt;=27,"★ Elite",IF(I12&gt;=21,"Strong",IF(I12&gt;=15,"Fair","Weak"))))</f>
        <v>Strong</v>
      </c>
      <c r="K12" s="12" t="n">
        <f aca="false">IF(I12="",0,I12)</f>
        <v>25</v>
      </c>
    </row>
    <row r="13" customFormat="false" ht="15" hidden="false" customHeight="false" outlineLevel="0" collapsed="false">
      <c r="B13" s="8" t="n">
        <v>9</v>
      </c>
      <c r="C13" s="9" t="s">
        <v>36</v>
      </c>
      <c r="D13" s="9" t="s">
        <v>37</v>
      </c>
      <c r="E13" s="9" t="s">
        <v>30</v>
      </c>
      <c r="F13" s="10" t="n">
        <v>9</v>
      </c>
      <c r="G13" s="10" t="n">
        <v>8</v>
      </c>
      <c r="H13" s="10" t="n">
        <v>8</v>
      </c>
      <c r="I13" s="11" t="n">
        <f aca="false">IF(COUNT(F13:H13)=0,"",SUM(F13:H13))</f>
        <v>25</v>
      </c>
      <c r="J13" s="11" t="str">
        <f aca="false">IF(I13="","",IF(I13&gt;=27,"★ Elite",IF(I13&gt;=21,"Strong",IF(I13&gt;=15,"Fair","Weak"))))</f>
        <v>Strong</v>
      </c>
      <c r="K13" s="12" t="n">
        <f aca="false">IF(I13="",0,I13)</f>
        <v>25</v>
      </c>
    </row>
    <row r="14" customFormat="false" ht="15" hidden="false" customHeight="false" outlineLevel="0" collapsed="false">
      <c r="B14" s="8" t="n">
        <v>10</v>
      </c>
      <c r="C14" s="9" t="s">
        <v>36</v>
      </c>
      <c r="D14" s="9" t="s">
        <v>37</v>
      </c>
      <c r="E14" s="9" t="s">
        <v>31</v>
      </c>
      <c r="F14" s="10" t="n">
        <v>7</v>
      </c>
      <c r="G14" s="10" t="n">
        <v>8</v>
      </c>
      <c r="H14" s="10" t="n">
        <v>9</v>
      </c>
      <c r="I14" s="11" t="n">
        <f aca="false">IF(COUNT(F14:H14)=0,"",SUM(F14:H14))</f>
        <v>24</v>
      </c>
      <c r="J14" s="11" t="str">
        <f aca="false">IF(I14="","",IF(I14&gt;=27,"★ Elite",IF(I14&gt;=21,"Strong",IF(I14&gt;=15,"Fair","Weak"))))</f>
        <v>Strong</v>
      </c>
      <c r="K14" s="12" t="n">
        <f aca="false">IF(I14="",0,I14)</f>
        <v>24</v>
      </c>
    </row>
    <row r="15" customFormat="false" ht="15" hidden="false" customHeight="false" outlineLevel="0" collapsed="false">
      <c r="B15" s="8" t="n">
        <v>11</v>
      </c>
      <c r="C15" s="9" t="s">
        <v>38</v>
      </c>
      <c r="D15" s="9" t="s">
        <v>37</v>
      </c>
      <c r="E15" s="9" t="s">
        <v>29</v>
      </c>
      <c r="F15" s="10" t="n">
        <v>7</v>
      </c>
      <c r="G15" s="10" t="n">
        <v>7</v>
      </c>
      <c r="H15" s="10" t="n">
        <v>6</v>
      </c>
      <c r="I15" s="11" t="n">
        <f aca="false">IF(COUNT(F15:H15)=0,"",SUM(F15:H15))</f>
        <v>20</v>
      </c>
      <c r="J15" s="11" t="str">
        <f aca="false">IF(I15="","",IF(I15&gt;=27,"★ Elite",IF(I15&gt;=21,"Strong",IF(I15&gt;=15,"Fair","Weak"))))</f>
        <v>Fair</v>
      </c>
      <c r="K15" s="12" t="n">
        <f aca="false">IF(I15="",0,I15)</f>
        <v>20</v>
      </c>
    </row>
    <row r="16" customFormat="false" ht="15" hidden="false" customHeight="false" outlineLevel="0" collapsed="false">
      <c r="B16" s="8" t="n">
        <v>12</v>
      </c>
      <c r="C16" s="9" t="s">
        <v>38</v>
      </c>
      <c r="D16" s="9" t="s">
        <v>37</v>
      </c>
      <c r="E16" s="9" t="s">
        <v>32</v>
      </c>
      <c r="F16" s="10" t="n">
        <v>8</v>
      </c>
      <c r="G16" s="10" t="n">
        <v>8</v>
      </c>
      <c r="H16" s="10" t="n">
        <v>7</v>
      </c>
      <c r="I16" s="11" t="n">
        <f aca="false">IF(COUNT(F16:H16)=0,"",SUM(F16:H16))</f>
        <v>23</v>
      </c>
      <c r="J16" s="11" t="str">
        <f aca="false">IF(I16="","",IF(I16&gt;=27,"★ Elite",IF(I16&gt;=21,"Strong",IF(I16&gt;=15,"Fair","Weak"))))</f>
        <v>Strong</v>
      </c>
      <c r="K16" s="12" t="n">
        <f aca="false">IF(I16="",0,I16)</f>
        <v>23</v>
      </c>
    </row>
    <row r="17" customFormat="false" ht="15" hidden="false" customHeight="false" outlineLevel="0" collapsed="false">
      <c r="B17" s="8" t="n">
        <v>13</v>
      </c>
      <c r="C17" s="9"/>
      <c r="D17" s="9"/>
      <c r="E17" s="9"/>
      <c r="F17" s="10"/>
      <c r="G17" s="10"/>
      <c r="H17" s="10"/>
      <c r="I17" s="11" t="str">
        <f aca="false">IF(COUNT(F17:H17)=0,"",SUM(F17:H17))</f>
        <v/>
      </c>
      <c r="J17" s="11" t="str">
        <f aca="false">IF(I17="","",IF(I17&gt;=27,"★ Elite",IF(I17&gt;=21,"Strong",IF(I17&gt;=15,"Fair","Weak"))))</f>
        <v/>
      </c>
      <c r="K17" s="12" t="n">
        <f aca="false">IF(I17="",0,I17)</f>
        <v>0</v>
      </c>
    </row>
    <row r="18" customFormat="false" ht="15" hidden="false" customHeight="false" outlineLevel="0" collapsed="false">
      <c r="B18" s="8" t="n">
        <v>14</v>
      </c>
      <c r="C18" s="9"/>
      <c r="D18" s="9"/>
      <c r="E18" s="9"/>
      <c r="F18" s="10"/>
      <c r="G18" s="10"/>
      <c r="H18" s="10"/>
      <c r="I18" s="11" t="str">
        <f aca="false">IF(COUNT(F18:H18)=0,"",SUM(F18:H18))</f>
        <v/>
      </c>
      <c r="J18" s="11" t="str">
        <f aca="false">IF(I18="","",IF(I18&gt;=27,"★ Elite",IF(I18&gt;=21,"Strong",IF(I18&gt;=15,"Fair","Weak"))))</f>
        <v/>
      </c>
      <c r="K18" s="12" t="n">
        <f aca="false">IF(I18="",0,I18)</f>
        <v>0</v>
      </c>
    </row>
    <row r="19" customFormat="false" ht="15" hidden="false" customHeight="false" outlineLevel="0" collapsed="false">
      <c r="B19" s="8" t="n">
        <v>15</v>
      </c>
      <c r="C19" s="9"/>
      <c r="D19" s="9"/>
      <c r="E19" s="9"/>
      <c r="F19" s="10"/>
      <c r="G19" s="10"/>
      <c r="H19" s="10"/>
      <c r="I19" s="11" t="str">
        <f aca="false">IF(COUNT(F19:H19)=0,"",SUM(F19:H19))</f>
        <v/>
      </c>
      <c r="J19" s="11" t="str">
        <f aca="false">IF(I19="","",IF(I19&gt;=27,"★ Elite",IF(I19&gt;=21,"Strong",IF(I19&gt;=15,"Fair","Weak"))))</f>
        <v/>
      </c>
      <c r="K19" s="12" t="n">
        <f aca="false">IF(I19="",0,I19)</f>
        <v>0</v>
      </c>
    </row>
    <row r="20" customFormat="false" ht="15" hidden="false" customHeight="false" outlineLevel="0" collapsed="false">
      <c r="B20" s="8" t="n">
        <v>16</v>
      </c>
      <c r="C20" s="9"/>
      <c r="D20" s="9"/>
      <c r="E20" s="9"/>
      <c r="F20" s="10"/>
      <c r="G20" s="10"/>
      <c r="H20" s="10"/>
      <c r="I20" s="11" t="str">
        <f aca="false">IF(COUNT(F20:H20)=0,"",SUM(F20:H20))</f>
        <v/>
      </c>
      <c r="J20" s="11" t="str">
        <f aca="false">IF(I20="","",IF(I20&gt;=27,"★ Elite",IF(I20&gt;=21,"Strong",IF(I20&gt;=15,"Fair","Weak"))))</f>
        <v/>
      </c>
      <c r="K20" s="12" t="n">
        <f aca="false">IF(I20="",0,I20)</f>
        <v>0</v>
      </c>
    </row>
    <row r="21" customFormat="false" ht="15" hidden="false" customHeight="false" outlineLevel="0" collapsed="false">
      <c r="B21" s="8" t="n">
        <v>17</v>
      </c>
      <c r="C21" s="9"/>
      <c r="D21" s="9"/>
      <c r="E21" s="9"/>
      <c r="F21" s="10"/>
      <c r="G21" s="10"/>
      <c r="H21" s="10"/>
      <c r="I21" s="11" t="str">
        <f aca="false">IF(COUNT(F21:H21)=0,"",SUM(F21:H21))</f>
        <v/>
      </c>
      <c r="J21" s="11" t="str">
        <f aca="false">IF(I21="","",IF(I21&gt;=27,"★ Elite",IF(I21&gt;=21,"Strong",IF(I21&gt;=15,"Fair","Weak"))))</f>
        <v/>
      </c>
      <c r="K21" s="12" t="n">
        <f aca="false">IF(I21="",0,I21)</f>
        <v>0</v>
      </c>
    </row>
    <row r="22" customFormat="false" ht="15" hidden="false" customHeight="false" outlineLevel="0" collapsed="false">
      <c r="B22" s="8" t="n">
        <v>18</v>
      </c>
      <c r="C22" s="9"/>
      <c r="D22" s="9"/>
      <c r="E22" s="9"/>
      <c r="F22" s="10"/>
      <c r="G22" s="10"/>
      <c r="H22" s="10"/>
      <c r="I22" s="11" t="str">
        <f aca="false">IF(COUNT(F22:H22)=0,"",SUM(F22:H22))</f>
        <v/>
      </c>
      <c r="J22" s="11" t="str">
        <f aca="false">IF(I22="","",IF(I22&gt;=27,"★ Elite",IF(I22&gt;=21,"Strong",IF(I22&gt;=15,"Fair","Weak"))))</f>
        <v/>
      </c>
      <c r="K22" s="12" t="n">
        <f aca="false">IF(I22="",0,I22)</f>
        <v>0</v>
      </c>
    </row>
    <row r="23" customFormat="false" ht="15" hidden="false" customHeight="false" outlineLevel="0" collapsed="false">
      <c r="B23" s="8" t="n">
        <v>19</v>
      </c>
      <c r="C23" s="9"/>
      <c r="D23" s="9"/>
      <c r="E23" s="9"/>
      <c r="F23" s="10"/>
      <c r="G23" s="10"/>
      <c r="H23" s="10"/>
      <c r="I23" s="11" t="str">
        <f aca="false">IF(COUNT(F23:H23)=0,"",SUM(F23:H23))</f>
        <v/>
      </c>
      <c r="J23" s="11" t="str">
        <f aca="false">IF(I23="","",IF(I23&gt;=27,"★ Elite",IF(I23&gt;=21,"Strong",IF(I23&gt;=15,"Fair","Weak"))))</f>
        <v/>
      </c>
      <c r="K23" s="12" t="n">
        <f aca="false">IF(I23="",0,I23)</f>
        <v>0</v>
      </c>
    </row>
    <row r="24" customFormat="false" ht="15" hidden="false" customHeight="false" outlineLevel="0" collapsed="false">
      <c r="B24" s="8" t="n">
        <v>20</v>
      </c>
      <c r="C24" s="9"/>
      <c r="D24" s="9"/>
      <c r="E24" s="9"/>
      <c r="F24" s="10"/>
      <c r="G24" s="10"/>
      <c r="H24" s="10"/>
      <c r="I24" s="11" t="str">
        <f aca="false">IF(COUNT(F24:H24)=0,"",SUM(F24:H24))</f>
        <v/>
      </c>
      <c r="J24" s="11" t="str">
        <f aca="false">IF(I24="","",IF(I24&gt;=27,"★ Elite",IF(I24&gt;=21,"Strong",IF(I24&gt;=15,"Fair","Weak"))))</f>
        <v/>
      </c>
      <c r="K24" s="12" t="n">
        <f aca="false">IF(I24="",0,I24)</f>
        <v>0</v>
      </c>
    </row>
    <row r="25" customFormat="false" ht="15" hidden="false" customHeight="false" outlineLevel="0" collapsed="false">
      <c r="B25" s="8" t="n">
        <v>21</v>
      </c>
      <c r="C25" s="9"/>
      <c r="D25" s="9"/>
      <c r="E25" s="9"/>
      <c r="F25" s="10"/>
      <c r="G25" s="10"/>
      <c r="H25" s="10"/>
      <c r="I25" s="11" t="str">
        <f aca="false">IF(COUNT(F25:H25)=0,"",SUM(F25:H25))</f>
        <v/>
      </c>
      <c r="J25" s="11" t="str">
        <f aca="false">IF(I25="","",IF(I25&gt;=27,"★ Elite",IF(I25&gt;=21,"Strong",IF(I25&gt;=15,"Fair","Weak"))))</f>
        <v/>
      </c>
      <c r="K25" s="12" t="n">
        <f aca="false">IF(I25="",0,I25)</f>
        <v>0</v>
      </c>
    </row>
    <row r="26" customFormat="false" ht="15" hidden="false" customHeight="false" outlineLevel="0" collapsed="false">
      <c r="B26" s="8" t="n">
        <v>22</v>
      </c>
      <c r="C26" s="9"/>
      <c r="D26" s="9"/>
      <c r="E26" s="9"/>
      <c r="F26" s="10"/>
      <c r="G26" s="10"/>
      <c r="H26" s="10"/>
      <c r="I26" s="11" t="str">
        <f aca="false">IF(COUNT(F26:H26)=0,"",SUM(F26:H26))</f>
        <v/>
      </c>
      <c r="J26" s="11" t="str">
        <f aca="false">IF(I26="","",IF(I26&gt;=27,"★ Elite",IF(I26&gt;=21,"Strong",IF(I26&gt;=15,"Fair","Weak"))))</f>
        <v/>
      </c>
      <c r="K26" s="12" t="n">
        <f aca="false">IF(I26="",0,I26)</f>
        <v>0</v>
      </c>
    </row>
    <row r="27" customFormat="false" ht="15" hidden="false" customHeight="false" outlineLevel="0" collapsed="false">
      <c r="B27" s="8" t="n">
        <v>23</v>
      </c>
      <c r="C27" s="9"/>
      <c r="D27" s="9"/>
      <c r="E27" s="9"/>
      <c r="F27" s="10"/>
      <c r="G27" s="10"/>
      <c r="H27" s="10"/>
      <c r="I27" s="11" t="str">
        <f aca="false">IF(COUNT(F27:H27)=0,"",SUM(F27:H27))</f>
        <v/>
      </c>
      <c r="J27" s="11" t="str">
        <f aca="false">IF(I27="","",IF(I27&gt;=27,"★ Elite",IF(I27&gt;=21,"Strong",IF(I27&gt;=15,"Fair","Weak"))))</f>
        <v/>
      </c>
      <c r="K27" s="12" t="n">
        <f aca="false">IF(I27="",0,I27)</f>
        <v>0</v>
      </c>
    </row>
    <row r="28" customFormat="false" ht="15" hidden="false" customHeight="false" outlineLevel="0" collapsed="false">
      <c r="B28" s="8" t="n">
        <v>24</v>
      </c>
      <c r="C28" s="9"/>
      <c r="D28" s="9"/>
      <c r="E28" s="9"/>
      <c r="F28" s="10"/>
      <c r="G28" s="10"/>
      <c r="H28" s="10"/>
      <c r="I28" s="11" t="str">
        <f aca="false">IF(COUNT(F28:H28)=0,"",SUM(F28:H28))</f>
        <v/>
      </c>
      <c r="J28" s="11" t="str">
        <f aca="false">IF(I28="","",IF(I28&gt;=27,"★ Elite",IF(I28&gt;=21,"Strong",IF(I28&gt;=15,"Fair","Weak"))))</f>
        <v/>
      </c>
      <c r="K28" s="12" t="n">
        <f aca="false">IF(I28="",0,I28)</f>
        <v>0</v>
      </c>
    </row>
    <row r="29" customFormat="false" ht="15" hidden="false" customHeight="false" outlineLevel="0" collapsed="false">
      <c r="B29" s="8" t="n">
        <v>25</v>
      </c>
      <c r="C29" s="9"/>
      <c r="D29" s="9"/>
      <c r="E29" s="9"/>
      <c r="F29" s="10"/>
      <c r="G29" s="10"/>
      <c r="H29" s="10"/>
      <c r="I29" s="11" t="str">
        <f aca="false">IF(COUNT(F29:H29)=0,"",SUM(F29:H29))</f>
        <v/>
      </c>
      <c r="J29" s="11" t="str">
        <f aca="false">IF(I29="","",IF(I29&gt;=27,"★ Elite",IF(I29&gt;=21,"Strong",IF(I29&gt;=15,"Fair","Weak"))))</f>
        <v/>
      </c>
      <c r="K29" s="12" t="n">
        <f aca="false">IF(I29="",0,I29)</f>
        <v>0</v>
      </c>
    </row>
    <row r="30" customFormat="false" ht="15" hidden="false" customHeight="false" outlineLevel="0" collapsed="false">
      <c r="B30" s="8" t="n">
        <v>26</v>
      </c>
      <c r="C30" s="9"/>
      <c r="D30" s="9"/>
      <c r="E30" s="9"/>
      <c r="F30" s="10"/>
      <c r="G30" s="10"/>
      <c r="H30" s="10"/>
      <c r="I30" s="11" t="str">
        <f aca="false">IF(COUNT(F30:H30)=0,"",SUM(F30:H30))</f>
        <v/>
      </c>
      <c r="J30" s="11" t="str">
        <f aca="false">IF(I30="","",IF(I30&gt;=27,"★ Elite",IF(I30&gt;=21,"Strong",IF(I30&gt;=15,"Fair","Weak"))))</f>
        <v/>
      </c>
      <c r="K30" s="12" t="n">
        <f aca="false">IF(I30="",0,I30)</f>
        <v>0</v>
      </c>
    </row>
    <row r="31" customFormat="false" ht="15" hidden="false" customHeight="false" outlineLevel="0" collapsed="false">
      <c r="B31" s="8" t="n">
        <v>27</v>
      </c>
      <c r="C31" s="9"/>
      <c r="D31" s="9"/>
      <c r="E31" s="9"/>
      <c r="F31" s="10"/>
      <c r="G31" s="10"/>
      <c r="H31" s="10"/>
      <c r="I31" s="11" t="str">
        <f aca="false">IF(COUNT(F31:H31)=0,"",SUM(F31:H31))</f>
        <v/>
      </c>
      <c r="J31" s="11" t="str">
        <f aca="false">IF(I31="","",IF(I31&gt;=27,"★ Elite",IF(I31&gt;=21,"Strong",IF(I31&gt;=15,"Fair","Weak"))))</f>
        <v/>
      </c>
      <c r="K31" s="12" t="n">
        <f aca="false">IF(I31="",0,I31)</f>
        <v>0</v>
      </c>
    </row>
    <row r="32" customFormat="false" ht="15" hidden="false" customHeight="false" outlineLevel="0" collapsed="false">
      <c r="B32" s="8" t="n">
        <v>28</v>
      </c>
      <c r="C32" s="9"/>
      <c r="D32" s="9"/>
      <c r="E32" s="9"/>
      <c r="F32" s="10"/>
      <c r="G32" s="10"/>
      <c r="H32" s="10"/>
      <c r="I32" s="11" t="str">
        <f aca="false">IF(COUNT(F32:H32)=0,"",SUM(F32:H32))</f>
        <v/>
      </c>
      <c r="J32" s="11" t="str">
        <f aca="false">IF(I32="","",IF(I32&gt;=27,"★ Elite",IF(I32&gt;=21,"Strong",IF(I32&gt;=15,"Fair","Weak"))))</f>
        <v/>
      </c>
      <c r="K32" s="12" t="n">
        <f aca="false">IF(I32="",0,I32)</f>
        <v>0</v>
      </c>
    </row>
    <row r="33" customFormat="false" ht="15" hidden="false" customHeight="false" outlineLevel="0" collapsed="false">
      <c r="B33" s="8" t="n">
        <v>29</v>
      </c>
      <c r="C33" s="9"/>
      <c r="D33" s="9"/>
      <c r="E33" s="9"/>
      <c r="F33" s="10"/>
      <c r="G33" s="10"/>
      <c r="H33" s="10"/>
      <c r="I33" s="11" t="str">
        <f aca="false">IF(COUNT(F33:H33)=0,"",SUM(F33:H33))</f>
        <v/>
      </c>
      <c r="J33" s="11" t="str">
        <f aca="false">IF(I33="","",IF(I33&gt;=27,"★ Elite",IF(I33&gt;=21,"Strong",IF(I33&gt;=15,"Fair","Weak"))))</f>
        <v/>
      </c>
      <c r="K33" s="12" t="n">
        <f aca="false">IF(I33="",0,I33)</f>
        <v>0</v>
      </c>
    </row>
    <row r="34" customFormat="false" ht="15" hidden="false" customHeight="false" outlineLevel="0" collapsed="false">
      <c r="B34" s="8" t="n">
        <v>30</v>
      </c>
      <c r="C34" s="9"/>
      <c r="D34" s="9"/>
      <c r="E34" s="9"/>
      <c r="F34" s="10"/>
      <c r="G34" s="10"/>
      <c r="H34" s="10"/>
      <c r="I34" s="11" t="str">
        <f aca="false">IF(COUNT(F34:H34)=0,"",SUM(F34:H34))</f>
        <v/>
      </c>
      <c r="J34" s="11" t="str">
        <f aca="false">IF(I34="","",IF(I34&gt;=27,"★ Elite",IF(I34&gt;=21,"Strong",IF(I34&gt;=15,"Fair","Weak"))))</f>
        <v/>
      </c>
      <c r="K34" s="12" t="n">
        <f aca="false">IF(I34="",0,I34)</f>
        <v>0</v>
      </c>
    </row>
    <row r="35" customFormat="false" ht="15" hidden="false" customHeight="false" outlineLevel="0" collapsed="false">
      <c r="B35" s="8" t="n">
        <v>31</v>
      </c>
      <c r="C35" s="9"/>
      <c r="D35" s="9"/>
      <c r="E35" s="9"/>
      <c r="F35" s="10"/>
      <c r="G35" s="10"/>
      <c r="H35" s="10"/>
      <c r="I35" s="11" t="str">
        <f aca="false">IF(COUNT(F35:H35)=0,"",SUM(F35:H35))</f>
        <v/>
      </c>
      <c r="J35" s="11" t="str">
        <f aca="false">IF(I35="","",IF(I35&gt;=27,"★ Elite",IF(I35&gt;=21,"Strong",IF(I35&gt;=15,"Fair","Weak"))))</f>
        <v/>
      </c>
      <c r="K35" s="12" t="n">
        <f aca="false">IF(I35="",0,I35)</f>
        <v>0</v>
      </c>
    </row>
    <row r="36" customFormat="false" ht="15" hidden="false" customHeight="false" outlineLevel="0" collapsed="false">
      <c r="B36" s="8" t="n">
        <v>32</v>
      </c>
      <c r="C36" s="9"/>
      <c r="D36" s="9"/>
      <c r="E36" s="9"/>
      <c r="F36" s="10"/>
      <c r="G36" s="10"/>
      <c r="H36" s="10"/>
      <c r="I36" s="11" t="str">
        <f aca="false">IF(COUNT(F36:H36)=0,"",SUM(F36:H36))</f>
        <v/>
      </c>
      <c r="J36" s="11" t="str">
        <f aca="false">IF(I36="","",IF(I36&gt;=27,"★ Elite",IF(I36&gt;=21,"Strong",IF(I36&gt;=15,"Fair","Weak"))))</f>
        <v/>
      </c>
      <c r="K36" s="12" t="n">
        <f aca="false">IF(I36="",0,I36)</f>
        <v>0</v>
      </c>
    </row>
    <row r="37" customFormat="false" ht="15" hidden="false" customHeight="false" outlineLevel="0" collapsed="false">
      <c r="B37" s="8" t="n">
        <v>33</v>
      </c>
      <c r="C37" s="9"/>
      <c r="D37" s="9"/>
      <c r="E37" s="9"/>
      <c r="F37" s="10"/>
      <c r="G37" s="10"/>
      <c r="H37" s="10"/>
      <c r="I37" s="11" t="str">
        <f aca="false">IF(COUNT(F37:H37)=0,"",SUM(F37:H37))</f>
        <v/>
      </c>
      <c r="J37" s="11" t="str">
        <f aca="false">IF(I37="","",IF(I37&gt;=27,"★ Elite",IF(I37&gt;=21,"Strong",IF(I37&gt;=15,"Fair","Weak"))))</f>
        <v/>
      </c>
      <c r="K37" s="12" t="n">
        <f aca="false">IF(I37="",0,I37)</f>
        <v>0</v>
      </c>
    </row>
    <row r="38" customFormat="false" ht="15" hidden="false" customHeight="false" outlineLevel="0" collapsed="false">
      <c r="B38" s="8" t="n">
        <v>34</v>
      </c>
      <c r="C38" s="9"/>
      <c r="D38" s="9"/>
      <c r="E38" s="9"/>
      <c r="F38" s="10"/>
      <c r="G38" s="10"/>
      <c r="H38" s="10"/>
      <c r="I38" s="11" t="str">
        <f aca="false">IF(COUNT(F38:H38)=0,"",SUM(F38:H38))</f>
        <v/>
      </c>
      <c r="J38" s="11" t="str">
        <f aca="false">IF(I38="","",IF(I38&gt;=27,"★ Elite",IF(I38&gt;=21,"Strong",IF(I38&gt;=15,"Fair","Weak"))))</f>
        <v/>
      </c>
      <c r="K38" s="12" t="n">
        <f aca="false">IF(I38="",0,I38)</f>
        <v>0</v>
      </c>
    </row>
    <row r="39" customFormat="false" ht="15" hidden="false" customHeight="false" outlineLevel="0" collapsed="false">
      <c r="B39" s="8" t="n">
        <v>35</v>
      </c>
      <c r="C39" s="9"/>
      <c r="D39" s="9"/>
      <c r="E39" s="9"/>
      <c r="F39" s="10"/>
      <c r="G39" s="10"/>
      <c r="H39" s="10"/>
      <c r="I39" s="11" t="str">
        <f aca="false">IF(COUNT(F39:H39)=0,"",SUM(F39:H39))</f>
        <v/>
      </c>
      <c r="J39" s="11" t="str">
        <f aca="false">IF(I39="","",IF(I39&gt;=27,"★ Elite",IF(I39&gt;=21,"Strong",IF(I39&gt;=15,"Fair","Weak"))))</f>
        <v/>
      </c>
      <c r="K39" s="12" t="n">
        <f aca="false">IF(I39="",0,I39)</f>
        <v>0</v>
      </c>
    </row>
    <row r="40" customFormat="false" ht="15" hidden="false" customHeight="false" outlineLevel="0" collapsed="false">
      <c r="B40" s="8" t="n">
        <v>36</v>
      </c>
      <c r="C40" s="9"/>
      <c r="D40" s="9"/>
      <c r="E40" s="9"/>
      <c r="F40" s="10"/>
      <c r="G40" s="10"/>
      <c r="H40" s="10"/>
      <c r="I40" s="11" t="str">
        <f aca="false">IF(COUNT(F40:H40)=0,"",SUM(F40:H40))</f>
        <v/>
      </c>
      <c r="J40" s="11" t="str">
        <f aca="false">IF(I40="","",IF(I40&gt;=27,"★ Elite",IF(I40&gt;=21,"Strong",IF(I40&gt;=15,"Fair","Weak"))))</f>
        <v/>
      </c>
      <c r="K40" s="12" t="n">
        <f aca="false">IF(I40="",0,I40)</f>
        <v>0</v>
      </c>
    </row>
    <row r="41" customFormat="false" ht="15" hidden="false" customHeight="false" outlineLevel="0" collapsed="false">
      <c r="B41" s="8" t="n">
        <v>37</v>
      </c>
      <c r="C41" s="9"/>
      <c r="D41" s="9"/>
      <c r="E41" s="9"/>
      <c r="F41" s="10"/>
      <c r="G41" s="10"/>
      <c r="H41" s="10"/>
      <c r="I41" s="11" t="str">
        <f aca="false">IF(COUNT(F41:H41)=0,"",SUM(F41:H41))</f>
        <v/>
      </c>
      <c r="J41" s="11" t="str">
        <f aca="false">IF(I41="","",IF(I41&gt;=27,"★ Elite",IF(I41&gt;=21,"Strong",IF(I41&gt;=15,"Fair","Weak"))))</f>
        <v/>
      </c>
      <c r="K41" s="12" t="n">
        <f aca="false">IF(I41="",0,I41)</f>
        <v>0</v>
      </c>
    </row>
    <row r="42" customFormat="false" ht="15" hidden="false" customHeight="false" outlineLevel="0" collapsed="false">
      <c r="B42" s="8" t="n">
        <v>38</v>
      </c>
      <c r="C42" s="9"/>
      <c r="D42" s="9"/>
      <c r="E42" s="9"/>
      <c r="F42" s="10"/>
      <c r="G42" s="10"/>
      <c r="H42" s="10"/>
      <c r="I42" s="11" t="str">
        <f aca="false">IF(COUNT(F42:H42)=0,"",SUM(F42:H42))</f>
        <v/>
      </c>
      <c r="J42" s="11" t="str">
        <f aca="false">IF(I42="","",IF(I42&gt;=27,"★ Elite",IF(I42&gt;=21,"Strong",IF(I42&gt;=15,"Fair","Weak"))))</f>
        <v/>
      </c>
      <c r="K42" s="12" t="n">
        <f aca="false">IF(I42="",0,I42)</f>
        <v>0</v>
      </c>
    </row>
    <row r="43" customFormat="false" ht="15" hidden="false" customHeight="false" outlineLevel="0" collapsed="false">
      <c r="B43" s="8" t="n">
        <v>39</v>
      </c>
      <c r="C43" s="9"/>
      <c r="D43" s="9"/>
      <c r="E43" s="9"/>
      <c r="F43" s="10"/>
      <c r="G43" s="10"/>
      <c r="H43" s="10"/>
      <c r="I43" s="11" t="str">
        <f aca="false">IF(COUNT(F43:H43)=0,"",SUM(F43:H43))</f>
        <v/>
      </c>
      <c r="J43" s="11" t="str">
        <f aca="false">IF(I43="","",IF(I43&gt;=27,"★ Elite",IF(I43&gt;=21,"Strong",IF(I43&gt;=15,"Fair","Weak"))))</f>
        <v/>
      </c>
      <c r="K43" s="12" t="n">
        <f aca="false">IF(I43="",0,I43)</f>
        <v>0</v>
      </c>
    </row>
    <row r="44" customFormat="false" ht="15" hidden="false" customHeight="false" outlineLevel="0" collapsed="false">
      <c r="B44" s="8" t="n">
        <v>40</v>
      </c>
      <c r="C44" s="9"/>
      <c r="D44" s="9"/>
      <c r="E44" s="9"/>
      <c r="F44" s="10"/>
      <c r="G44" s="10"/>
      <c r="H44" s="10"/>
      <c r="I44" s="11" t="str">
        <f aca="false">IF(COUNT(F44:H44)=0,"",SUM(F44:H44))</f>
        <v/>
      </c>
      <c r="J44" s="11" t="str">
        <f aca="false">IF(I44="","",IF(I44&gt;=27,"★ Elite",IF(I44&gt;=21,"Strong",IF(I44&gt;=15,"Fair","Weak"))))</f>
        <v/>
      </c>
      <c r="K44" s="12" t="n">
        <f aca="false">IF(I44="",0,I44)</f>
        <v>0</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Style="stop" operator="between" showDropDown="false" showErrorMessage="fals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s>
  <sheetData>
    <row r="2" customFormat="false" ht="22.05" hidden="false" customHeight="false" outlineLevel="0" collapsed="false">
      <c r="B2" s="1" t="s">
        <v>39</v>
      </c>
    </row>
    <row r="4" customFormat="false" ht="15" hidden="false" customHeight="false" outlineLevel="0" collapsed="false">
      <c r="B4" s="6" t="s">
        <v>40</v>
      </c>
      <c r="C4" s="6" t="s">
        <v>17</v>
      </c>
      <c r="D4" s="6" t="s">
        <v>18</v>
      </c>
      <c r="E4" s="6" t="s">
        <v>41</v>
      </c>
      <c r="F4" s="6" t="s">
        <v>42</v>
      </c>
      <c r="G4" s="6" t="s">
        <v>43</v>
      </c>
      <c r="H4" s="6" t="s">
        <v>44</v>
      </c>
      <c r="I4" s="6" t="s">
        <v>45</v>
      </c>
      <c r="J4" s="6" t="s">
        <v>46</v>
      </c>
      <c r="K4" s="6" t="s">
        <v>47</v>
      </c>
      <c r="L4" s="6" t="s">
        <v>48</v>
      </c>
      <c r="M4" s="6" t="s">
        <v>49</v>
      </c>
    </row>
    <row r="5" customFormat="false" ht="15" hidden="false" customHeight="false" outlineLevel="0" collapsed="false">
      <c r="B5" s="13" t="n">
        <f aca="false">RANK(L5,$L$5:$L$7)</f>
        <v>1</v>
      </c>
      <c r="C5" s="14" t="s">
        <v>27</v>
      </c>
      <c r="D5" s="15" t="str">
        <f aca="false">IFERROR(INDEX(Submissions!$D:$D,MATCH($C5,Submissions!$C:$C,0)),"")</f>
        <v>Rob (human steward)</v>
      </c>
      <c r="E5" s="16" t="n">
        <f aca="false">SUMPRODUCT(MAX((Submissions!$C$5:$C$44=$C5)*(Submissions!$E$5:$E$44="Special Skills using X")*Submissions!$K$5:$K$44))</f>
        <v>28</v>
      </c>
      <c r="F5" s="16" t="n">
        <f aca="false">SUMPRODUCT(MAX((Submissions!$C$5:$C$44=$C5)*(Submissions!$E$5:$E$44="More Minds are better than one Mind: Research Quest")*Submissions!$K$5:$K$44))</f>
        <v>28</v>
      </c>
      <c r="G5" s="16" t="n">
        <f aca="false">SUMPRODUCT(MAX((Submissions!$C$5:$C$44=$C5)*(Submissions!$E$5:$E$44="Cross Word Puzzle")*Submissions!$K$5:$K$44))</f>
        <v>27</v>
      </c>
      <c r="H5" s="16" t="n">
        <f aca="false">SUMPRODUCT(MAX((Submissions!$C$5:$C$44=$C5)*(Submissions!$E$5:$E$44="Calm before the Storm")*Submissions!$K$5:$K$44))</f>
        <v>26</v>
      </c>
      <c r="I5" s="16" t="n">
        <f aca="false">SUMPRODUCT(MAX((Submissions!$C$5:$C$44=$C5)*(Submissions!$E$5:$E$44="AstroMesh: Minds &amp; MCP Mashup Challenge")*Submissions!$K$5:$K$44))</f>
        <v>26</v>
      </c>
      <c r="J5" s="16" t="n">
        <f aca="false">SUMPRODUCT(MAX((Submissions!$C$5:$C$44=$C5)*(Submissions!$E$5:$E$44="Minds Building Chatbots Challenge")*Submissions!$K$5:$K$44))</f>
        <v>26</v>
      </c>
      <c r="K5" s="16" t="n">
        <f aca="false">SUMPRODUCT(MAX((Submissions!$C$5:$C$44=$C5)*(Submissions!$E$5:$E$44="Mindsheets Masterpiece and Debugging")*Submissions!$K$5:$K$44))</f>
        <v>25</v>
      </c>
      <c r="L5" s="17" t="n">
        <f aca="false">SUM(E5:K5)</f>
        <v>186</v>
      </c>
      <c r="M5" s="15" t="str">
        <f aca="false">IF(B5=1,"🥇",IF(B5=2,"🥈",IF(B5=3,"🥉","")))</f>
        <v>🥇</v>
      </c>
    </row>
    <row r="6" customFormat="false" ht="15" hidden="false" customHeight="false" outlineLevel="0" collapsed="false">
      <c r="B6" s="13" t="n">
        <f aca="false">RANK(L6,$L$5:$L$7)</f>
        <v>2</v>
      </c>
      <c r="C6" s="18" t="s">
        <v>36</v>
      </c>
      <c r="D6" s="15" t="str">
        <f aca="false">IFERROR(INDEX(Submissions!$D:$D,MATCH($C6,Submissions!$C:$C,0)),"")</f>
        <v>(fictional)</v>
      </c>
      <c r="E6" s="16" t="n">
        <f aca="false">SUMPRODUCT(MAX((Submissions!$C$5:$C$44=$C6)*(Submissions!$E$5:$E$44="Special Skills using X")*Submissions!$K$5:$K$44))</f>
        <v>25</v>
      </c>
      <c r="F6" s="16" t="n">
        <f aca="false">SUMPRODUCT(MAX((Submissions!$C$5:$C$44=$C6)*(Submissions!$E$5:$E$44="More Minds are better than one Mind: Research Quest")*Submissions!$K$5:$K$44))</f>
        <v>25</v>
      </c>
      <c r="G6" s="16" t="n">
        <f aca="false">SUMPRODUCT(MAX((Submissions!$C$5:$C$44=$C6)*(Submissions!$E$5:$E$44="Cross Word Puzzle")*Submissions!$K$5:$K$44))</f>
        <v>24</v>
      </c>
      <c r="H6" s="16" t="n">
        <f aca="false">SUMPRODUCT(MAX((Submissions!$C$5:$C$44=$C6)*(Submissions!$E$5:$E$44="Calm before the Storm")*Submissions!$K$5:$K$44))</f>
        <v>0</v>
      </c>
      <c r="I6" s="16" t="n">
        <f aca="false">SUMPRODUCT(MAX((Submissions!$C$5:$C$44=$C6)*(Submissions!$E$5:$E$44="AstroMesh: Minds &amp; MCP Mashup Challenge")*Submissions!$K$5:$K$44))</f>
        <v>0</v>
      </c>
      <c r="J6" s="16" t="n">
        <f aca="false">SUMPRODUCT(MAX((Submissions!$C$5:$C$44=$C6)*(Submissions!$E$5:$E$44="Minds Building Chatbots Challenge")*Submissions!$K$5:$K$44))</f>
        <v>0</v>
      </c>
      <c r="K6" s="16" t="n">
        <f aca="false">SUMPRODUCT(MAX((Submissions!$C$5:$C$44=$C6)*(Submissions!$E$5:$E$44="Mindsheets Masterpiece and Debugging")*Submissions!$K$5:$K$44))</f>
        <v>0</v>
      </c>
      <c r="L6" s="17" t="n">
        <f aca="false">SUM(E6:K6)</f>
        <v>74</v>
      </c>
      <c r="M6" s="15" t="str">
        <f aca="false">IF(B6=1,"🥇",IF(B6=2,"🥈",IF(B6=3,"🥉","")))</f>
        <v>🥈</v>
      </c>
    </row>
    <row r="7" customFormat="false" ht="15" hidden="false" customHeight="false" outlineLevel="0" collapsed="false">
      <c r="B7" s="13" t="n">
        <f aca="false">RANK(L7,$L$5:$L$7)</f>
        <v>3</v>
      </c>
      <c r="C7" s="18" t="s">
        <v>38</v>
      </c>
      <c r="D7" s="15" t="str">
        <f aca="false">IFERROR(INDEX(Submissions!$D:$D,MATCH($C7,Submissions!$C:$C,0)),"")</f>
        <v>(fictional)</v>
      </c>
      <c r="E7" s="16" t="n">
        <f aca="false">SUMPRODUCT(MAX((Submissions!$C$5:$C$44=$C7)*(Submissions!$E$5:$E$44="Special Skills using X")*Submissions!$K$5:$K$44))</f>
        <v>20</v>
      </c>
      <c r="F7" s="16" t="n">
        <f aca="false">SUMPRODUCT(MAX((Submissions!$C$5:$C$44=$C7)*(Submissions!$E$5:$E$44="More Minds are better than one Mind: Research Quest")*Submissions!$K$5:$K$44))</f>
        <v>0</v>
      </c>
      <c r="G7" s="16" t="n">
        <f aca="false">SUMPRODUCT(MAX((Submissions!$C$5:$C$44=$C7)*(Submissions!$E$5:$E$44="Cross Word Puzzle")*Submissions!$K$5:$K$44))</f>
        <v>0</v>
      </c>
      <c r="H7" s="16" t="n">
        <f aca="false">SUMPRODUCT(MAX((Submissions!$C$5:$C$44=$C7)*(Submissions!$E$5:$E$44="Calm before the Storm")*Submissions!$K$5:$K$44))</f>
        <v>23</v>
      </c>
      <c r="I7" s="16" t="n">
        <f aca="false">SUMPRODUCT(MAX((Submissions!$C$5:$C$44=$C7)*(Submissions!$E$5:$E$44="AstroMesh: Minds &amp; MCP Mashup Challenge")*Submissions!$K$5:$K$44))</f>
        <v>0</v>
      </c>
      <c r="J7" s="16" t="n">
        <f aca="false">SUMPRODUCT(MAX((Submissions!$C$5:$C$44=$C7)*(Submissions!$E$5:$E$44="Minds Building Chatbots Challenge")*Submissions!$K$5:$K$44))</f>
        <v>0</v>
      </c>
      <c r="K7" s="16" t="n">
        <f aca="false">SUMPRODUCT(MAX((Submissions!$C$5:$C$44=$C7)*(Submissions!$E$5:$E$44="Mindsheets Masterpiece and Debugging")*Submissions!$K$5:$K$44))</f>
        <v>0</v>
      </c>
      <c r="L7" s="17" t="n">
        <f aca="false">SUM(E7:K7)</f>
        <v>43</v>
      </c>
      <c r="M7" s="15" t="str">
        <f aca="false">IF(B7=1,"🥇",IF(B7=2,"🥈",IF(B7=3,"🥉","")))</f>
        <v>🥉</v>
      </c>
    </row>
  </sheetData>
  <conditionalFormatting sqref="L5:L7">
    <cfRule type="colorScale" priority="2">
      <colorScale>
        <cfvo type="min" val="0"/>
        <cfvo type="max" val="0"/>
        <color rgb="FFFFEB84"/>
        <color rgb="FF63BE7B"/>
      </colorScale>
    </cfRule>
  </conditionalFormatting>
  <conditionalFormatting sqref="B5:M7">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50</v>
      </c>
    </row>
    <row r="3" customFormat="false" ht="15" hidden="false" customHeight="false" outlineLevel="0" collapsed="false">
      <c r="B3" s="2" t="s">
        <v>51</v>
      </c>
    </row>
    <row r="5" customFormat="false" ht="15" hidden="false" customHeight="false" outlineLevel="0" collapsed="false">
      <c r="B5" s="19" t="s">
        <v>52</v>
      </c>
      <c r="C5" s="19"/>
      <c r="D5" s="19"/>
      <c r="E5" s="19" t="s">
        <v>53</v>
      </c>
      <c r="F5" s="19"/>
      <c r="G5" s="19"/>
      <c r="H5" s="19" t="s">
        <v>54</v>
      </c>
      <c r="I5" s="19"/>
      <c r="J5" s="19"/>
      <c r="K5" s="19" t="s">
        <v>55</v>
      </c>
      <c r="L5" s="19"/>
      <c r="M5" s="19"/>
    </row>
    <row r="6" customFormat="false" ht="15" hidden="false" customHeight="false" outlineLevel="0" collapsed="false">
      <c r="B6" s="20" t="str">
        <f aca="false">INDEX(Leaderboard!C:C,MATCH(1,Leaderboard!B:B,0))</f>
        <v>NeoBerlin</v>
      </c>
      <c r="C6" s="20"/>
      <c r="D6" s="20"/>
      <c r="E6" s="20" t="n">
        <f aca="false">MAX(Leaderboard!L:L)</f>
        <v>186</v>
      </c>
      <c r="F6" s="20"/>
      <c r="G6" s="20"/>
      <c r="H6" s="20" t="n">
        <f aca="false">INDEX(Leaderboard!L:L,MATCH("NeoBerlin",Leaderboard!C:C,0))</f>
        <v>186</v>
      </c>
      <c r="I6" s="20"/>
      <c r="J6" s="20"/>
      <c r="K6" s="20" t="n">
        <f aca="false">MAX(Leaderboard!L:L)-INDEX(Leaderboard!L:L,MATCH("NeoBerlin",Leaderboard!C:C,0))</f>
        <v>0</v>
      </c>
      <c r="L6" s="20"/>
      <c r="M6" s="20"/>
    </row>
    <row r="7" customFormat="false" ht="15" hidden="false" customHeight="false" outlineLevel="0" collapsed="false">
      <c r="B7" s="20"/>
      <c r="C7" s="20"/>
      <c r="D7" s="20"/>
      <c r="E7" s="20"/>
      <c r="F7" s="20"/>
      <c r="G7" s="20"/>
      <c r="H7" s="20"/>
      <c r="I7" s="20"/>
      <c r="J7" s="20"/>
      <c r="K7" s="20"/>
      <c r="L7" s="20"/>
      <c r="M7" s="20"/>
    </row>
    <row r="10" customFormat="false" ht="15" hidden="false" customHeight="false" outlineLevel="0" collapsed="false">
      <c r="B10" s="21" t="s">
        <v>56</v>
      </c>
    </row>
    <row r="11" customFormat="false" ht="15" hidden="false" customHeight="false" outlineLevel="0" collapsed="false">
      <c r="B11" s="5" t="s">
        <v>17</v>
      </c>
      <c r="C11" s="5" t="s">
        <v>57</v>
      </c>
    </row>
    <row r="12" customFormat="false" ht="15" hidden="false" customHeight="false" outlineLevel="0" collapsed="false">
      <c r="B12" s="22" t="str">
        <f aca="false">Leaderboard!C5</f>
        <v>NeoBerlin</v>
      </c>
      <c r="C12" s="15" t="n">
        <f aca="false">Leaderboard!L5</f>
        <v>186</v>
      </c>
    </row>
    <row r="13" customFormat="false" ht="15" hidden="false" customHeight="false" outlineLevel="0" collapsed="false">
      <c r="B13" s="22" t="str">
        <f aca="false">Leaderboard!C6</f>
        <v>Demo-Alpha</v>
      </c>
      <c r="C13" s="15" t="n">
        <f aca="false">Leaderboard!L6</f>
        <v>74</v>
      </c>
    </row>
    <row r="14" customFormat="false" ht="15" hidden="false" customHeight="false" outlineLevel="0" collapsed="false">
      <c r="B14" s="22" t="str">
        <f aca="false">Leaderboard!C7</f>
        <v>Demo-Beta</v>
      </c>
      <c r="C14" s="15" t="n">
        <f aca="false">Leaderboard!L7</f>
        <v>43</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20"/>
    <col collapsed="false" customWidth="true" hidden="false" outlineLevel="0" max="9" min="7" style="0" width="14"/>
  </cols>
  <sheetData>
    <row r="2" customFormat="false" ht="22.05" hidden="false" customHeight="false" outlineLevel="0" collapsed="false">
      <c r="B2" s="1" t="s">
        <v>58</v>
      </c>
    </row>
    <row r="3" customFormat="false" ht="15" hidden="false" customHeight="false" outlineLevel="0" collapsed="false">
      <c r="B3" s="2" t="s">
        <v>59</v>
      </c>
    </row>
    <row r="5" customFormat="false" ht="15" hidden="false" customHeight="false" outlineLevel="0" collapsed="false">
      <c r="B5" s="23" t="s">
        <v>60</v>
      </c>
      <c r="D5" s="24" t="n">
        <v>3</v>
      </c>
      <c r="E5" s="2" t="s">
        <v>61</v>
      </c>
    </row>
    <row r="7" customFormat="false" ht="15" hidden="false" customHeight="false" outlineLevel="0" collapsed="false">
      <c r="B7" s="6" t="s">
        <v>18</v>
      </c>
      <c r="C7" s="6" t="s">
        <v>62</v>
      </c>
      <c r="D7" s="6" t="s">
        <v>63</v>
      </c>
      <c r="E7" s="6" t="s">
        <v>64</v>
      </c>
      <c r="F7" s="6" t="s">
        <v>65</v>
      </c>
      <c r="G7" s="6" t="s">
        <v>66</v>
      </c>
    </row>
    <row r="8" customFormat="false" ht="15" hidden="false" customHeight="false" outlineLevel="0" collapsed="false">
      <c r="B8" s="22" t="s">
        <v>28</v>
      </c>
      <c r="C8" s="25" t="n">
        <v>1</v>
      </c>
      <c r="D8" s="15" t="n">
        <f aca="false">Leaderboard!L5</f>
        <v>186</v>
      </c>
      <c r="E8" s="26" t="n">
        <f aca="false">SQRT(D8)</f>
        <v>13.6381816969859</v>
      </c>
      <c r="F8" s="27" t="n">
        <f aca="false">IF(SUM($E$8:$E$11)=0,0,E8/SUM($E$8:$E$11))</f>
        <v>0.404730749394807</v>
      </c>
      <c r="G8" s="28" t="n">
        <f aca="false">$D$5*F8</f>
        <v>1.21419224818442</v>
      </c>
    </row>
    <row r="9" customFormat="false" ht="15" hidden="false" customHeight="false" outlineLevel="0" collapsed="false">
      <c r="B9" s="22" t="s">
        <v>67</v>
      </c>
      <c r="C9" s="25" t="n">
        <v>1</v>
      </c>
      <c r="D9" s="15" t="n">
        <f aca="false">Leaderboard!L6</f>
        <v>74</v>
      </c>
      <c r="E9" s="26" t="n">
        <f aca="false">SQRT(D9)</f>
        <v>8.60232526704263</v>
      </c>
      <c r="F9" s="27" t="n">
        <f aca="false">IF(SUM($E$8:$E$11)=0,0,E9/SUM($E$8:$E$11))</f>
        <v>0.255285171383038</v>
      </c>
      <c r="G9" s="28" t="n">
        <f aca="false">$D$5*F9</f>
        <v>0.765855514149114</v>
      </c>
    </row>
    <row r="10" customFormat="false" ht="15" hidden="false" customHeight="false" outlineLevel="0" collapsed="false">
      <c r="B10" s="22" t="s">
        <v>68</v>
      </c>
      <c r="C10" s="25" t="n">
        <v>1</v>
      </c>
      <c r="D10" s="15" t="n">
        <f aca="false">Leaderboard!L7</f>
        <v>43</v>
      </c>
      <c r="E10" s="26" t="n">
        <f aca="false">SQRT(D10)</f>
        <v>6.557438524302</v>
      </c>
      <c r="F10" s="27" t="n">
        <f aca="false">IF(SUM($E$8:$E$11)=0,0,E10/SUM($E$8:$E$11))</f>
        <v>0.194600502253001</v>
      </c>
      <c r="G10" s="28" t="n">
        <f aca="false">$D$5*F10</f>
        <v>0.583801506759001</v>
      </c>
    </row>
    <row r="11" customFormat="false" ht="15" hidden="false" customHeight="false" outlineLevel="0" collapsed="false">
      <c r="B11" s="22" t="s">
        <v>69</v>
      </c>
      <c r="C11" s="25" t="n">
        <v>12</v>
      </c>
      <c r="D11" s="25" t="n">
        <f aca="false">C11*2</f>
        <v>24</v>
      </c>
      <c r="E11" s="26" t="n">
        <f aca="false">SQRT(D11)</f>
        <v>4.89897948556636</v>
      </c>
      <c r="F11" s="27" t="n">
        <f aca="false">IF(SUM($E$8:$E$11)=0,0,E11/SUM($E$8:$E$11))</f>
        <v>0.145383576969155</v>
      </c>
      <c r="G11" s="28" t="n">
        <f aca="false">$D$5*F11</f>
        <v>0.436150730907464</v>
      </c>
    </row>
    <row r="12" customFormat="false" ht="15" hidden="false" customHeight="false" outlineLevel="0" collapsed="false">
      <c r="B12" s="29" t="s">
        <v>70</v>
      </c>
      <c r="C12" s="30"/>
      <c r="D12" s="30"/>
      <c r="E12" s="30"/>
      <c r="F12" s="31" t="n">
        <f aca="false">SUM(F8:F11)</f>
        <v>1</v>
      </c>
      <c r="G12" s="32" t="n">
        <f aca="false">SUM(G8:G11)</f>
        <v>3</v>
      </c>
    </row>
    <row r="14" customFormat="false" ht="15" hidden="false" customHeight="false" outlineLevel="0" collapsed="false">
      <c r="B14" s="2" t="s">
        <v>71</v>
      </c>
    </row>
    <row r="15" customFormat="false" ht="15" hidden="false" customHeight="false" outlineLevel="0" collapsed="false">
      <c r="B15" s="2" t="s">
        <v>72</v>
      </c>
    </row>
    <row r="16" customFormat="false" ht="15" hidden="false" customHeight="false" outlineLevel="0" collapsed="false">
      <c r="B16" s="2" t="s">
        <v>73</v>
      </c>
    </row>
  </sheetData>
  <conditionalFormatting sqref="G8:G11">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0"/>
    <col collapsed="false" customWidth="true" hidden="false" outlineLevel="0" max="4" min="4" style="0" width="38"/>
    <col collapsed="false" customWidth="true" hidden="false" outlineLevel="0" max="5" min="5" style="0" width="40"/>
    <col collapsed="false" customWidth="true" hidden="false" outlineLevel="0" max="6" min="6" style="0" width="44"/>
    <col collapsed="false" customWidth="true" hidden="false" outlineLevel="0" max="7" min="7" style="0" width="9"/>
  </cols>
  <sheetData>
    <row r="2" customFormat="false" ht="22.05" hidden="false" customHeight="false" outlineLevel="0" collapsed="false">
      <c r="B2" s="1" t="s">
        <v>74</v>
      </c>
    </row>
    <row r="3" customFormat="false" ht="15" hidden="false" customHeight="false" outlineLevel="0" collapsed="false">
      <c r="B3" s="2" t="s">
        <v>75</v>
      </c>
    </row>
    <row r="5" customFormat="false" ht="15" hidden="false" customHeight="false" outlineLevel="0" collapsed="false">
      <c r="B5" s="6" t="s">
        <v>16</v>
      </c>
      <c r="C5" s="6" t="s">
        <v>76</v>
      </c>
      <c r="D5" s="6" t="s">
        <v>77</v>
      </c>
      <c r="E5" s="6" t="s">
        <v>78</v>
      </c>
      <c r="F5" s="6" t="s">
        <v>79</v>
      </c>
      <c r="G5" s="6" t="s">
        <v>80</v>
      </c>
    </row>
    <row r="6" customFormat="false" ht="15" hidden="false" customHeight="false" outlineLevel="0" collapsed="false">
      <c r="B6" s="33" t="n">
        <v>1</v>
      </c>
      <c r="C6" s="34" t="s">
        <v>81</v>
      </c>
      <c r="D6" s="34" t="s">
        <v>82</v>
      </c>
      <c r="E6" s="34" t="s">
        <v>83</v>
      </c>
      <c r="F6" s="9" t="s">
        <v>84</v>
      </c>
      <c r="G6" s="10" t="s">
        <v>85</v>
      </c>
    </row>
    <row r="7" customFormat="false" ht="15" hidden="false" customHeight="false" outlineLevel="0" collapsed="false">
      <c r="B7" s="33" t="n">
        <v>2</v>
      </c>
      <c r="C7" s="34" t="s">
        <v>86</v>
      </c>
      <c r="D7" s="34" t="s">
        <v>87</v>
      </c>
      <c r="E7" s="34" t="s">
        <v>88</v>
      </c>
      <c r="F7" s="9" t="s">
        <v>89</v>
      </c>
      <c r="G7" s="10" t="s">
        <v>85</v>
      </c>
    </row>
    <row r="8" customFormat="false" ht="15" hidden="false" customHeight="false" outlineLevel="0" collapsed="false">
      <c r="B8" s="33" t="n">
        <v>3</v>
      </c>
      <c r="C8" s="34" t="s">
        <v>90</v>
      </c>
      <c r="D8" s="34" t="s">
        <v>91</v>
      </c>
      <c r="E8" s="34" t="s">
        <v>92</v>
      </c>
      <c r="F8" s="9" t="s">
        <v>93</v>
      </c>
      <c r="G8" s="10" t="s">
        <v>94</v>
      </c>
    </row>
    <row r="9" customFormat="false" ht="15" hidden="false" customHeight="false" outlineLevel="0" collapsed="false">
      <c r="B9" s="33" t="n">
        <v>4</v>
      </c>
      <c r="C9" s="34" t="s">
        <v>95</v>
      </c>
      <c r="D9" s="34" t="s">
        <v>96</v>
      </c>
      <c r="E9" s="34" t="s">
        <v>97</v>
      </c>
      <c r="F9" s="9" t="s">
        <v>98</v>
      </c>
      <c r="G9" s="10" t="s">
        <v>99</v>
      </c>
    </row>
    <row r="10" customFormat="false" ht="15" hidden="false" customHeight="false" outlineLevel="0" collapsed="false">
      <c r="B10" s="33" t="n">
        <v>5</v>
      </c>
      <c r="C10" s="34" t="s">
        <v>100</v>
      </c>
      <c r="D10" s="34" t="s">
        <v>101</v>
      </c>
      <c r="E10" s="34" t="s">
        <v>102</v>
      </c>
      <c r="F10" s="9" t="s">
        <v>103</v>
      </c>
      <c r="G10" s="10" t="s">
        <v>85</v>
      </c>
    </row>
    <row r="12" customFormat="false" ht="15" hidden="false" customHeight="false" outlineLevel="0" collapsed="false">
      <c r="B12" s="35"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8"/>
    <col collapsed="false" customWidth="true" hidden="false" outlineLevel="0" max="4" min="3" style="0" width="7"/>
    <col collapsed="false" customWidth="true" hidden="false" outlineLevel="0" max="5" min="5" style="0" width="5"/>
    <col collapsed="false" customWidth="true" hidden="false" outlineLevel="0" max="6" min="6" style="0" width="12"/>
    <col collapsed="false" customWidth="true" hidden="false" outlineLevel="0" max="7" min="7" style="0" width="9"/>
    <col collapsed="false" customWidth="true" hidden="false" outlineLevel="0" max="8" min="8" style="0" width="15"/>
    <col collapsed="false" customWidth="true" hidden="false" outlineLevel="0" max="9" min="9" style="0" width="20"/>
    <col collapsed="false" customWidth="true" hidden="false" outlineLevel="0" max="10" min="10" style="0" width="26"/>
    <col collapsed="false" customWidth="true" hidden="false" outlineLevel="0" max="11" min="11" style="0" width="14"/>
    <col collapsed="false" customWidth="true" hidden="false" outlineLevel="0" max="12" min="12" style="0" width="24"/>
  </cols>
  <sheetData>
    <row r="2" customFormat="false" ht="22.05" hidden="false" customHeight="false" outlineLevel="0" collapsed="false">
      <c r="B2" s="1" t="s">
        <v>105</v>
      </c>
    </row>
    <row r="3" customFormat="false" ht="15" hidden="false" customHeight="false" outlineLevel="0" collapsed="false">
      <c r="B3" s="2" t="s">
        <v>106</v>
      </c>
    </row>
    <row r="5" customFormat="false" ht="15" hidden="false" customHeight="false" outlineLevel="0" collapsed="false">
      <c r="B5" s="6" t="s">
        <v>19</v>
      </c>
      <c r="C5" s="6" t="s">
        <v>107</v>
      </c>
      <c r="D5" s="6" t="s">
        <v>108</v>
      </c>
      <c r="E5" s="6" t="s">
        <v>109</v>
      </c>
      <c r="F5" s="6" t="s">
        <v>110</v>
      </c>
      <c r="G5" s="6" t="s">
        <v>111</v>
      </c>
      <c r="H5" s="6" t="s">
        <v>112</v>
      </c>
      <c r="I5" s="6" t="s">
        <v>113</v>
      </c>
      <c r="J5" s="6" t="s">
        <v>114</v>
      </c>
      <c r="K5" s="6" t="s">
        <v>115</v>
      </c>
      <c r="L5" s="6" t="s">
        <v>116</v>
      </c>
    </row>
    <row r="6" customFormat="false" ht="15" hidden="false" customHeight="false" outlineLevel="0" collapsed="false">
      <c r="B6" s="34" t="s">
        <v>29</v>
      </c>
      <c r="C6" s="10" t="n">
        <v>28</v>
      </c>
      <c r="D6" s="10" t="n">
        <v>4</v>
      </c>
      <c r="E6" s="33" t="n">
        <v>4</v>
      </c>
      <c r="F6" s="10" t="n">
        <v>27.5</v>
      </c>
      <c r="G6" s="10" t="n">
        <v>0.71</v>
      </c>
      <c r="H6" s="36" t="n">
        <f aca="false">IF($E6&lt;2,"n/a",1-NORMDIST($C6,$F6,$G6,TRUE()))</f>
        <v>0.240646222600921</v>
      </c>
      <c r="I6" s="37" t="n">
        <f aca="false">IF($E6&lt;2,"insufficient history",$C6*NORMDIST($C6,$F6,$G6,TRUE())+$F6*(1-NORMDIST($C6,$F6,$G6,TRUE()))+$G6*$G6*NORMDIST($C6,$F6,$G6,FALSE())-$C6)</f>
        <v>0.100720443700393</v>
      </c>
      <c r="J6" s="38" t="str">
        <f aca="false">IF($E6&lt;2,"need &gt;=2 scores",IF($D6=0,"no attempts left",IF($I6&gt;=0.5,"SHOOT — best use of an attempt",IF($I6&gt;=0.15,"worthwhile","low return"))))</f>
        <v>low return</v>
      </c>
      <c r="K6" s="39" t="n">
        <f aca="false">IF(AND($D6&gt;0,$E6&gt;=2),$I6,-999)</f>
        <v>0.100720443700393</v>
      </c>
      <c r="L6" s="40" t="str">
        <f aca="false">IF($E6&lt;2,"",REPT("|",ROUND(MAX($I6,0)*20,0)))</f>
        <v>||</v>
      </c>
    </row>
    <row r="7" customFormat="false" ht="15" hidden="false" customHeight="false" outlineLevel="0" collapsed="false">
      <c r="B7" s="34" t="s">
        <v>117</v>
      </c>
      <c r="C7" s="10" t="n">
        <v>28</v>
      </c>
      <c r="D7" s="10" t="n">
        <v>1</v>
      </c>
      <c r="E7" s="33" t="n">
        <v>5</v>
      </c>
      <c r="F7" s="10" t="n">
        <v>26.5</v>
      </c>
      <c r="G7" s="10" t="n">
        <v>1.36</v>
      </c>
      <c r="H7" s="36" t="n">
        <f aca="false">IF($E7&lt;2,"n/a",1-NORMDIST($C7,$F7,$G7,TRUE()))</f>
        <v>0.135026355547818</v>
      </c>
      <c r="I7" s="37" t="n">
        <f aca="false">IF($E7&lt;2,"insufficient history",$C7*NORMDIST($C7,$F7,$G7,TRUE())+$F7*(1-NORMDIST($C7,$F7,$G7,TRUE()))+$G7*$G7*NORMDIST($C7,$F7,$G7,FALSE())-$C7)</f>
        <v>0.0927811494462922</v>
      </c>
      <c r="J7" s="38" t="str">
        <f aca="false">IF($E7&lt;2,"need &gt;=2 scores",IF($D7=0,"no attempts left",IF($I7&gt;=0.5,"SHOOT — best use of an attempt",IF($I7&gt;=0.15,"worthwhile","low return"))))</f>
        <v>low return</v>
      </c>
      <c r="K7" s="39" t="n">
        <f aca="false">IF(AND($D7&gt;0,$E7&gt;=2),$I7,-999)</f>
        <v>0.0927811494462922</v>
      </c>
      <c r="L7" s="40" t="str">
        <f aca="false">IF($E7&lt;2,"",REPT("|",ROUND(MAX($I7,0)*20,0)))</f>
        <v>||</v>
      </c>
    </row>
    <row r="8" customFormat="false" ht="15" hidden="false" customHeight="false" outlineLevel="0" collapsed="false">
      <c r="B8" s="34" t="s">
        <v>31</v>
      </c>
      <c r="C8" s="10" t="n">
        <v>27</v>
      </c>
      <c r="D8" s="10" t="n">
        <v>0</v>
      </c>
      <c r="E8" s="33" t="n">
        <v>7</v>
      </c>
      <c r="F8" s="10" t="n">
        <v>25</v>
      </c>
      <c r="G8" s="10" t="n">
        <v>2.23</v>
      </c>
      <c r="H8" s="36" t="n">
        <f aca="false">IF($E8&lt;2,"n/a",1-NORMDIST($C8,$F8,$G8,TRUE()))</f>
        <v>0.184896550093709</v>
      </c>
      <c r="I8" s="37" t="n">
        <f aca="false">IF($E8&lt;2,"insufficient history",$C8*NORMDIST($C8,$F8,$G8,TRUE())+$F8*(1-NORMDIST($C8,$F8,$G8,TRUE()))+$G8*$G8*NORMDIST($C8,$F8,$G8,FALSE())-$C8)</f>
        <v>0.225252782691307</v>
      </c>
      <c r="J8" s="38" t="str">
        <f aca="false">IF($E8&lt;2,"need &gt;=2 scores",IF($D8=0,"no attempts left",IF($I8&gt;=0.5,"SHOOT — best use of an attempt",IF($I8&gt;=0.15,"worthwhile","low return"))))</f>
        <v>no attempts left</v>
      </c>
      <c r="K8" s="39" t="n">
        <f aca="false">IF(AND($D8&gt;0,$E8&gt;=2),$I8,-999)</f>
        <v>-999</v>
      </c>
      <c r="L8" s="40" t="str">
        <f aca="false">IF($E8&lt;2,"",REPT("|",ROUND(MAX($I8,0)*20,0)))</f>
        <v>|||||</v>
      </c>
    </row>
    <row r="9" customFormat="false" ht="15" hidden="false" customHeight="false" outlineLevel="0" collapsed="false">
      <c r="B9" s="34" t="s">
        <v>32</v>
      </c>
      <c r="C9" s="10" t="n">
        <v>26</v>
      </c>
      <c r="D9" s="10" t="n">
        <v>1</v>
      </c>
      <c r="E9" s="33" t="n">
        <v>7</v>
      </c>
      <c r="F9" s="10" t="n">
        <v>24.5</v>
      </c>
      <c r="G9" s="10" t="n">
        <v>1.76</v>
      </c>
      <c r="H9" s="36" t="n">
        <f aca="false">IF($E9&lt;2,"n/a",1-NORMDIST($C9,$F9,$G9,TRUE()))</f>
        <v>0.197031369686655</v>
      </c>
      <c r="I9" s="37" t="n">
        <f aca="false">IF($E9&lt;2,"insufficient history",$C9*NORMDIST($C9,$F9,$G9,TRUE())+$F9*(1-NORMDIST($C9,$F9,$G9,TRUE()))+$G9*$G9*NORMDIST($C9,$F9,$G9,FALSE())-$C9)</f>
        <v>0.192760847660367</v>
      </c>
      <c r="J9" s="38" t="str">
        <f aca="false">IF($E9&lt;2,"need &gt;=2 scores",IF($D9=0,"no attempts left",IF($I9&gt;=0.5,"SHOOT — best use of an attempt",IF($I9&gt;=0.15,"worthwhile","low return"))))</f>
        <v>worthwhile</v>
      </c>
      <c r="K9" s="39" t="n">
        <f aca="false">IF(AND($D9&gt;0,$E9&gt;=2),$I9,-999)</f>
        <v>0.192760847660367</v>
      </c>
      <c r="L9" s="40" t="str">
        <f aca="false">IF($E9&lt;2,"",REPT("|",ROUND(MAX($I9,0)*20,0)))</f>
        <v>||||</v>
      </c>
    </row>
    <row r="10" customFormat="false" ht="15" hidden="false" customHeight="false" outlineLevel="0" collapsed="false">
      <c r="B10" s="34" t="s">
        <v>118</v>
      </c>
      <c r="C10" s="10" t="n">
        <v>26</v>
      </c>
      <c r="D10" s="10" t="n">
        <v>3</v>
      </c>
      <c r="E10" s="33" t="n">
        <v>5</v>
      </c>
      <c r="F10" s="10" t="n">
        <v>23.5</v>
      </c>
      <c r="G10" s="10" t="n">
        <v>1.17</v>
      </c>
      <c r="H10" s="36" t="n">
        <f aca="false">IF($E10&lt;2,"n/a",1-NORMDIST($C10,$F10,$G10,TRUE()))</f>
        <v>0.0163090784888628</v>
      </c>
      <c r="I10" s="37" t="n">
        <f aca="false">IF($E10&lt;2,"insufficient history",$C10*NORMDIST($C10,$F10,$G10,TRUE())+$F10*(1-NORMDIST($C10,$F10,$G10,TRUE()))+$G10*$G10*NORMDIST($C10,$F10,$G10,FALSE())-$C10)</f>
        <v>0.00683362959041389</v>
      </c>
      <c r="J10" s="38" t="str">
        <f aca="false">IF($E10&lt;2,"need &gt;=2 scores",IF($D10=0,"no attempts left",IF($I10&gt;=0.5,"SHOOT — best use of an attempt",IF($I10&gt;=0.15,"worthwhile","low return"))))</f>
        <v>low return</v>
      </c>
      <c r="K10" s="39" t="n">
        <f aca="false">IF(AND($D10&gt;0,$E10&gt;=2),$I10,-999)</f>
        <v>0.00683362959041389</v>
      </c>
      <c r="L10" s="40" t="str">
        <f aca="false">IF($E10&lt;2,"",REPT("|",ROUND(MAX($I10,0)*20,0)))</f>
        <v/>
      </c>
    </row>
    <row r="11" customFormat="false" ht="15" hidden="false" customHeight="false" outlineLevel="0" collapsed="false">
      <c r="B11" s="34" t="s">
        <v>119</v>
      </c>
      <c r="C11" s="10" t="n">
        <v>26</v>
      </c>
      <c r="D11" s="10" t="n">
        <v>1</v>
      </c>
      <c r="E11" s="33" t="n">
        <v>7</v>
      </c>
      <c r="F11" s="10" t="n">
        <v>23</v>
      </c>
      <c r="G11" s="10" t="n">
        <v>1.76</v>
      </c>
      <c r="H11" s="36" t="n">
        <f aca="false">IF($E11&lt;2,"n/a",1-NORMDIST($C11,$F11,$G11,TRUE()))</f>
        <v>0.0441396158580674</v>
      </c>
      <c r="I11" s="37" t="n">
        <f aca="false">IF($E11&lt;2,"insufficient history",$C11*NORMDIST($C11,$F11,$G11,TRUE())+$F11*(1-NORMDIST($C11,$F11,$G11,TRUE()))+$G11*$G11*NORMDIST($C11,$F11,$G11,FALSE())-$C11)</f>
        <v>0.0318316934919807</v>
      </c>
      <c r="J11" s="38" t="str">
        <f aca="false">IF($E11&lt;2,"need &gt;=2 scores",IF($D11=0,"no attempts left",IF($I11&gt;=0.5,"SHOOT — best use of an attempt",IF($I11&gt;=0.15,"worthwhile","low return"))))</f>
        <v>low return</v>
      </c>
      <c r="K11" s="39" t="n">
        <f aca="false">IF(AND($D11&gt;0,$E11&gt;=2),$I11,-999)</f>
        <v>0.0318316934919807</v>
      </c>
      <c r="L11" s="40" t="str">
        <f aca="false">IF($E11&lt;2,"",REPT("|",ROUND(MAX($I11,0)*20,0)))</f>
        <v>|</v>
      </c>
    </row>
    <row r="12" customFormat="false" ht="15" hidden="false" customHeight="false" outlineLevel="0" collapsed="false">
      <c r="B12" s="34" t="s">
        <v>120</v>
      </c>
      <c r="C12" s="10" t="n">
        <v>25</v>
      </c>
      <c r="D12" s="10" t="n">
        <v>1</v>
      </c>
      <c r="E12" s="33" t="n">
        <v>6</v>
      </c>
      <c r="F12" s="10" t="n">
        <v>22.5</v>
      </c>
      <c r="G12" s="10" t="n">
        <v>3.3</v>
      </c>
      <c r="H12" s="36" t="n">
        <f aca="false">IF($E12&lt;2,"n/a",1-NORMDIST($C12,$F12,$G12,TRUE()))</f>
        <v>0.224352498756818</v>
      </c>
      <c r="I12" s="37" t="n">
        <f aca="false">IF($E12&lt;2,"insufficient history",$C12*NORMDIST($C12,$F12,$G12,TRUE())+$F12*(1-NORMDIST($C12,$F12,$G12,TRUE()))+$G12*$G12*NORMDIST($C12,$F12,$G12,FALSE())-$C12)</f>
        <v>0.427213607902583</v>
      </c>
      <c r="J12" s="38" t="str">
        <f aca="false">IF($E12&lt;2,"need &gt;=2 scores",IF($D12=0,"no attempts left",IF($I12&gt;=0.5,"SHOOT — best use of an attempt",IF($I12&gt;=0.15,"worthwhile","low return"))))</f>
        <v>worthwhile</v>
      </c>
      <c r="K12" s="39" t="n">
        <f aca="false">IF(AND($D12&gt;0,$E12&gt;=2),$I12,-999)</f>
        <v>0.427213607902583</v>
      </c>
      <c r="L12" s="40" t="str">
        <f aca="false">IF($E12&lt;2,"",REPT("|",ROUND(MAX($I12,0)*20,0)))</f>
        <v>|||||||||</v>
      </c>
    </row>
    <row r="14" customFormat="false" ht="15" hidden="false" customHeight="false" outlineLevel="0" collapsed="false">
      <c r="B14" s="21" t="s">
        <v>121</v>
      </c>
      <c r="D14" s="41" t="str">
        <f aca="false">INDEX($B$6:$B$12,MATCH(MAX($K$6:$K$12),$K$6:$K$12,0))</f>
        <v>Mindsheets Masterpiece</v>
      </c>
    </row>
    <row r="15" customFormat="false" ht="15" hidden="false" customHeight="false" outlineLevel="0" collapsed="false">
      <c r="B15" s="42" t="s">
        <v>122</v>
      </c>
      <c r="C15" s="42"/>
      <c r="D15" s="42"/>
      <c r="E15" s="42"/>
      <c r="F15" s="42"/>
      <c r="G15" s="42"/>
      <c r="H15" s="42"/>
      <c r="I15" s="42"/>
      <c r="J15" s="42"/>
    </row>
  </sheetData>
  <mergeCells count="1">
    <mergeCell ref="B15:J15"/>
  </mergeCells>
  <conditionalFormatting sqref="I6:I12">
    <cfRule type="colorScale" priority="2">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2026-07-28T17:36:12Z</dcterms:created>
  <dc:creator>openpyxl</dc:creator>
  <dc:description/>
  <dc:language>de-DE</dc:language>
  <cp:lastModifiedBy/>
  <dcterms:modified xsi:type="dcterms:W3CDTF">2026-07-28T17:36:12Z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