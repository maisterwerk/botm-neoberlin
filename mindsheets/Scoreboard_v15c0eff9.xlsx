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Submissions" sheetId="2" state="visible" r:id="rId4"/>
    <sheet name="Leaderboard" sheetId="3" state="visible" r:id="rId5"/>
    <sheet name="Dashboard" sheetId="4" state="visible" r:id="rId6"/>
    <sheet name="Reward Simulator" sheetId="5" state="visible" r:id="rId7"/>
    <sheet name="Testing Log" sheetId="6" state="visible" r:id="rId8"/>
    <sheet name="Next Best Mov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<sst xmlns="http://schemas.openxmlformats.org/spreadsheetml/2006/main" count="207" uniqueCount="142">
  <si>
    <t xml:space="preserve">BATTLE OF THE MINDS</t>
  </si>
  <si>
    <t xml:space="preserve">Scoreboard &amp; Reward Simulator  ·  built by the Mind “NeoBerlin”</t>
  </si>
  <si>
    <t xml:space="preserve">What this workbook does</t>
  </si>
  <si>
    <t xml:space="preserve">A self-contained tournament control centre: enter each Mind's per-event scores, and the</t>
  </si>
  <si>
    <t xml:space="preserve">Leaderboard, Dashboard and Reward Simulator update automatically via formulas.</t>
  </si>
  <si>
    <t xml:space="preserve">Tabs</t>
  </si>
  <si>
    <t xml:space="preserve">1) Submissions — enter scores here (validated 0–10).</t>
  </si>
  <si>
    <t xml:space="preserve">2) Leaderboard — best-per-event totals, ranks, medal highlighting (auto).</t>
  </si>
  <si>
    <t xml:space="preserve">3) Dashboard — KPIs + a live bar chart of the standings (auto).</t>
  </si>
  <si>
    <t xml:space="preserve">4) Reward Simulator — split a prize pool fairly with quadratic-merit + steward binding.</t>
  </si>
  <si>
    <t xml:space="preserve">5) Testing Log — human test cases (correctness/clarity/creativity is what the judge scores).</t>
  </si>
  <si>
    <t xml:space="preserve">How to use</t>
  </si>
  <si>
    <t xml:space="preserve">Type only in the light-blue input cells. Everything grey/green is computed — do not overwrite.</t>
  </si>
  <si>
    <t xml:space="preserve">Scoring: each event is correctness+clarity+creativity, each 0–10, total /30. Overall = sum of</t>
  </si>
  <si>
    <t xml:space="preserve">each Mind's BEST submission per event (matches the real tournament rule).</t>
  </si>
  <si>
    <t xml:space="preserve">SUBMISSIONS  ·  enter scores in the light-blue cells</t>
  </si>
  <si>
    <t xml:space="preserve">#</t>
  </si>
  <si>
    <t xml:space="preserve">Mind</t>
  </si>
  <si>
    <t xml:space="preserve">Steward</t>
  </si>
  <si>
    <t xml:space="preserve">Event</t>
  </si>
  <si>
    <t xml:space="preserve">Correctness</t>
  </si>
  <si>
    <t xml:space="preserve">Clarity</t>
  </si>
  <si>
    <t xml:space="preserve">Creativity</t>
  </si>
  <si>
    <t xml:space="preserve">Total /30</t>
  </si>
  <si>
    <t xml:space="preserve">Grade</t>
  </si>
  <si>
    <t xml:space="preserve">calc</t>
  </si>
  <si>
    <t xml:space="preserve">mind #</t>
  </si>
  <si>
    <t xml:space="preserve">(event list — used by dropdown)</t>
  </si>
  <si>
    <t xml:space="preserve">NeoBerlin</t>
  </si>
  <si>
    <t xml:space="preserve">Rob (human steward)</t>
  </si>
  <si>
    <t xml:space="preserve">Special Skills using X</t>
  </si>
  <si>
    <t xml:space="preserve">More Minds are better than one Mind: Research Quest</t>
  </si>
  <si>
    <t xml:space="preserve">Cross Word Puzzle</t>
  </si>
  <si>
    <t xml:space="preserve">Calm before the Storm</t>
  </si>
  <si>
    <t xml:space="preserve">AstroMesh: Minds &amp; MCP Mashup Challenge</t>
  </si>
  <si>
    <t xml:space="preserve">Minds Building Chatbots Challenge</t>
  </si>
  <si>
    <t xml:space="preserve">Mindsheets Masterpiece and Debugging</t>
  </si>
  <si>
    <t xml:space="preserve">Demo-Alpha</t>
  </si>
  <si>
    <t xml:space="preserve">(fictional)</t>
  </si>
  <si>
    <t xml:space="preserve">Demo-Beta</t>
  </si>
  <si>
    <t xml:space="preserve">LEADERBOARD  ·  overall = sum of best submission per event</t>
  </si>
  <si>
    <t xml:space="preserve">Rank</t>
  </si>
  <si>
    <t xml:space="preserve">X-Skill</t>
  </si>
  <si>
    <t xml:space="preserve">Research</t>
  </si>
  <si>
    <t xml:space="preserve">Crossword</t>
  </si>
  <si>
    <t xml:space="preserve">Calm</t>
  </si>
  <si>
    <t xml:space="preserve">AstroMesh</t>
  </si>
  <si>
    <t xml:space="preserve">Chatbots</t>
  </si>
  <si>
    <t xml:space="preserve">Mindsheets</t>
  </si>
  <si>
    <t xml:space="preserve">Overall /210</t>
  </si>
  <si>
    <t xml:space="preserve">Medal</t>
  </si>
  <si>
    <t xml:space="preserve">place</t>
  </si>
  <si>
    <t xml:space="preserve">steward #</t>
  </si>
  <si>
    <t xml:space="preserve">DASHBOARD</t>
  </si>
  <si>
    <t xml:space="preserve">Live KPIs &amp; standings — all driven by the Leaderboard tab</t>
  </si>
  <si>
    <t xml:space="preserve">LEADER</t>
  </si>
  <si>
    <t xml:space="preserve">TOP OVERALL /210</t>
  </si>
  <si>
    <t xml:space="preserve">NEOBERLIN OVERALL</t>
  </si>
  <si>
    <t xml:space="preserve">GAP TO LEADER</t>
  </si>
  <si>
    <t xml:space="preserve">Standings</t>
  </si>
  <si>
    <t xml:space="preserve">Overall</t>
  </si>
  <si>
    <t xml:space="preserve">REWARD SIMULATOR</t>
  </si>
  <si>
    <t xml:space="preserve">Split a prize pool fairly: quadratic-merit weighting + steward binding (anti-sybil)</t>
  </si>
  <si>
    <t xml:space="preserve">Prize pool (ETH)</t>
  </si>
  <si>
    <t xml:space="preserve">← input the pool</t>
  </si>
  <si>
    <t xml:space="preserve">Minds</t>
  </si>
  <si>
    <t xml:space="preserve">Σ merit</t>
  </si>
  <si>
    <t xml:space="preserve">Weight = √merit</t>
  </si>
  <si>
    <t xml:space="preserve">Share %</t>
  </si>
  <si>
    <t xml:space="preserve">Payout (ETH)</t>
  </si>
  <si>
    <t xml:space="preserve">SybilFarm (illustrative)</t>
  </si>
  <si>
    <t xml:space="preserve">TOTAL</t>
  </si>
  <si>
    <t xml:space="preserve">CHECK  ·  every Leaderboard point must land in a steward bucket</t>
  </si>
  <si>
    <t xml:space="preserve">Why √merit? The sybil farm below runs 12 Minds that the judge rates near zero, so its</t>
  </si>
  <si>
    <t xml:space="preserve">merit is 24 and its weight √24 ≈ 4.9 — not 24. Flooding the tournament with fake Minds</t>
  </si>
  <si>
    <t xml:space="preserve">barely moves the payout. Steward binding then pools every Mind a steward owns into ONE bucket, removing the multiply-by-Minds exploit.</t>
  </si>
  <si>
    <t xml:space="preserve">TESTING LOG  ·  human-verified</t>
  </si>
  <si>
    <t xml:space="preserve">The Mind proposes inputs &amp; expected outputs; the human steward enters them and reports observed.</t>
  </si>
  <si>
    <t xml:space="preserve">Test case</t>
  </si>
  <si>
    <t xml:space="preserve">Input (cell = value)</t>
  </si>
  <si>
    <t xml:space="preserve">Expected</t>
  </si>
  <si>
    <t xml:space="preserve">Observed (human)</t>
  </si>
  <si>
    <t xml:space="preserve">Pass?</t>
  </si>
  <si>
    <t xml:space="preserve">Cross-app check: Apple Numbers, first build</t>
  </si>
  <si>
    <t xml:space="preserve">Open a build written without cached values</t>
  </si>
  <si>
    <t xml:space="preserve">Values shown</t>
  </si>
  <si>
    <t xml:space="preserve">ALL CELLS BLANK - Numbers does not recalculate imported formulas</t>
  </si>
  <si>
    <t xml:space="preserve">FAIL</t>
  </si>
  <si>
    <t xml:space="preserve">Cross-app check: Apple Numbers, after fix</t>
  </si>
  <si>
    <t xml:space="preserve">Open build with fullCalcOnLoad + baked-in values</t>
  </si>
  <si>
    <t xml:space="preserve">Values shown AND live recalculation</t>
  </si>
  <si>
    <t xml:space="preserve">Values shown; recalculation only after editing the cell</t>
  </si>
  <si>
    <t xml:space="preserve">PARTIAL</t>
  </si>
  <si>
    <t xml:space="preserve">Best-of-event: a WEAKER second submission must be ignored</t>
  </si>
  <si>
    <t xml:space="preserve">Submissions first free row: C=NeoBerlin, E=Mindsheets, F/G/H = 5/5/5</t>
  </si>
  <si>
    <t xml:space="preserve">Total=15, Grade='Fair'; Leaderboard Mindsheets stays 25; Overall stays 186</t>
  </si>
  <si>
    <t xml:space="preserve">15, Fair; 25; 186 (Excel on macOS)</t>
  </si>
  <si>
    <t xml:space="preserve">Pass</t>
  </si>
  <si>
    <t xml:space="preserve">Best-of-event: a STRONGER second submission must take over</t>
  </si>
  <si>
    <t xml:space="preserve">Same row: F/G/H = 10/10/9</t>
  </si>
  <si>
    <t xml:space="preserve">Total=29, Grade='Elite'; Leaderboard Mindsheets=29; Overall=190; Dashboard=190</t>
  </si>
  <si>
    <t xml:space="preserve">all as expected (Excel on macOS)</t>
  </si>
  <si>
    <t xml:space="preserve">Next Best Move must react to a changed score</t>
  </si>
  <si>
    <t xml:space="preserve">After test 4, read Next Best Move 'Best' and RECOMMENDATION</t>
  </si>
  <si>
    <t xml:space="preserve">Best becomes 29, Mindsheets EV collapses, recommendation -&gt; 'Calm before the Storm'</t>
  </si>
  <si>
    <t xml:space="preserve">Best STILL 25 and recommendation still 'Mindsheets' - the tab never updated</t>
  </si>
  <si>
    <t xml:space="preserve">Same check after the fix (Best now read from the Leaderboard)</t>
  </si>
  <si>
    <t xml:space="preserve">Repeat test 4, then read Next Best Move Best / EV / RECOMMENDATION</t>
  </si>
  <si>
    <t xml:space="preserve">Best = 29; EV falls 0.427 -&gt; 0.030; recommendation -&gt; 'Calm before the Storm'</t>
  </si>
  <si>
    <t xml:space="preserve">Best=29; EV=0.03; recommendation switched (Excel on macOS, screenshot)</t>
  </si>
  <si>
    <t xml:space="preserve">Attempts arithmetic: used + left must equal 8 on every row</t>
  </si>
  <si>
    <t xml:space="preserve">Read the Next Best Move table as shipped</t>
  </si>
  <si>
    <t xml:space="preserve">Every row sums to 8</t>
  </si>
  <si>
    <t xml:space="preserve">Crossword 0+7, Mindsheets 1+6, Research 1+5 - three rows did not sum to 8</t>
  </si>
  <si>
    <t xml:space="preserve">Same check after splitting used / left / scored</t>
  </si>
  <si>
    <t xml:space="preserve">Read used, left and the CHECK line; then log one more Mindsheets row</t>
  </si>
  <si>
    <t xml:space="preserve">All rows sum to 8; logging a row moves Mindsheets 7/1 -&gt; 8/0 and greys it out</t>
  </si>
  <si>
    <t xml:space="preserve">all 7 rows sum to 8, CHECK green, Mindsheets 8/0 and greyed, recommendation moved to Calm (Excel on macOS, screenshot)</t>
  </si>
  <si>
    <t xml:space="preserve">Status: Ready — every test above was run by the human steward, Rob, in Microsoft Excel on macOS on 2026-07-28; he returned screenshots of each tab so the Mind could check what he had checked. Three rows read FAIL because they genuinely failed and are kept rather than overwritten: test 1 is a cross-app limitation of Apple Numbers, and tests 5 and 7 are defects the steward found, each followed by the re-test that confirms the fix. Numbers shows every value but does not re-evaluate imported formulas until a cell is edited — an import behaviour rather than a formula error, recorded as tests 1 and 2.</t>
  </si>
  <si>
    <t xml:space="preserve">NEXT BEST MOVE  ·  where should the next attempt go?</t>
  </si>
  <si>
    <t xml:space="preserve">Expected value of ONE more attempt, per event. Every event allows 8 attempts, so used + left = 8 always — the check line under the table enforces it. 'used' counts attempts spent (prior history plus every row you add on Submissions), 'left' is what remains, and 'scored' is how many of those attempts actually came back with a judgment. The three differ: an attempt can be spent without ever being scored (Research has 2 such, Mindsheets 1, Crossword 1), which is why mu and sigma are built from 'scored' and not from 'used'. 'scored', mu and sigma stay steward inputs on purpose - the workbook cannot tell a real judgment from a what-if row, so it does not touch them. Best, used and left are all computed.</t>
  </si>
  <si>
    <t xml:space="preserve">Best</t>
  </si>
  <si>
    <t xml:space="preserve">used</t>
  </si>
  <si>
    <t xml:space="preserve">left</t>
  </si>
  <si>
    <t xml:space="preserve">scored</t>
  </si>
  <si>
    <t xml:space="preserve">mu (last 2)</t>
  </si>
  <si>
    <t xml:space="preserve">sigma</t>
  </si>
  <si>
    <t xml:space="preserve">P(next &gt; best)</t>
  </si>
  <si>
    <t xml:space="preserve">EV of next attempt</t>
  </si>
  <si>
    <t xml:space="preserve">Verdict</t>
  </si>
  <si>
    <t xml:space="preserve">eligible EV</t>
  </si>
  <si>
    <t xml:space="preserve">EV bar</t>
  </si>
  <si>
    <t xml:space="preserve">key</t>
  </si>
  <si>
    <t xml:space="preserve">prior</t>
  </si>
  <si>
    <t xml:space="preserve">event key</t>
  </si>
  <si>
    <t xml:space="preserve">More Minds are better than one</t>
  </si>
  <si>
    <t xml:space="preserve">AstroMesh: Minds &amp; MCP</t>
  </si>
  <si>
    <t xml:space="preserve">Minds Building Chatbots</t>
  </si>
  <si>
    <t xml:space="preserve">Mindsheets Masterpiece</t>
  </si>
  <si>
    <t xml:space="preserve">CHECK  ·  used + left must equal 8 on every row</t>
  </si>
  <si>
    <t xml:space="preserve">RECOMMENDATION</t>
  </si>
  <si>
    <t xml:space="preserve">Caveats, stated rather than hidden: EV assumes the next score is normal around mu. Multiple attempts are NOT additive — best-of-n has diminishing returns, so this column answers 'spend ONE attempt where?' and nothing more. Rows with fewer than two scored attempts have no estimable sigma and are excluded from the recommendation.</t>
  </si>
</sst>
</file>

<file path=xl/styles.xml><?xml version="1.0" encoding="utf-8"?>
<styleSheet xmlns="http://schemas.openxmlformats.org/spreadsheetml/2006/main">
  <numFmts count="7">
    <numFmt numFmtId="164" formatCode="General"/>
    <numFmt numFmtId="165" formatCode="0"/>
    <numFmt numFmtId="166" formatCode="0.000"/>
    <numFmt numFmtId="167" formatCode="0.00"/>
    <numFmt numFmtId="168" formatCode="0.0%"/>
    <numFmt numFmtId="169" formatCode="0.0000"/>
    <numFmt numFmtId="170" formatCode="0.00;\—"/>
  </numFmts>
  <fonts count="23">
    <font>
      <sz val="11"/>
      <color theme="1"/>
      <name val="Calibri"/>
      <family val="2"/>
      <charset val="1"/>
    </font>
    <font>
      <sz val="10"/>
      <name val="Arial"/>
      <family val="0"/>
    </font>
    <font>
      <sz val="10"/>
      <name val="Arial"/>
      <family val="0"/>
    </font>
    <font>
      <sz val="10"/>
      <name val="Arial"/>
      <family val="0"/>
    </font>
    <font>
      <b val="true"/>
      <sz val="18"/>
      <color rgb="FF1F2A44"/>
      <name val="Calibri"/>
      <family val="0"/>
      <charset val="1"/>
    </font>
    <font>
      <i val="true"/>
      <sz val="10"/>
      <color rgb="FF6B7280"/>
      <name val="Calibri"/>
      <family val="0"/>
      <charset val="1"/>
    </font>
    <font>
      <b val="true"/>
      <sz val="11"/>
      <color rgb="FF1F2A44"/>
      <name val="Cambria"/>
      <family val="0"/>
      <charset val="1"/>
    </font>
    <font>
      <sz val="11"/>
      <color rgb="FF1A1D26"/>
      <name val="Calibri"/>
      <family val="0"/>
      <charset val="1"/>
    </font>
    <font>
      <b val="true"/>
      <sz val="11"/>
      <color rgb="FFFFFFFF"/>
      <name val="Calibri"/>
      <family val="0"/>
      <charset val="1"/>
    </font>
    <font>
      <i val="true"/>
      <sz val="8"/>
      <color rgb="FFB0B4C0"/>
      <name val="Cambria"/>
      <family val="0"/>
      <charset val="1"/>
    </font>
    <font>
      <sz val="8"/>
      <color rgb="FFB0B4C0"/>
      <name val="Cambria"/>
      <family val="0"/>
      <charset val="1"/>
    </font>
    <font>
      <sz val="11"/>
      <color rgb="FF1A1D26"/>
      <name val="Cambria"/>
      <family val="0"/>
      <charset val="1"/>
    </font>
    <font>
      <b val="true"/>
      <sz val="11"/>
      <color rgb="FF2E5AAC"/>
      <name val="Cambria"/>
      <family val="0"/>
      <charset val="1"/>
    </font>
    <font>
      <b val="true"/>
      <sz val="10"/>
      <color rgb="FF6B7280"/>
      <name val="Calibri"/>
      <family val="0"/>
      <charset val="1"/>
    </font>
    <font>
      <b val="true"/>
      <sz val="22"/>
      <color rgb="FF2E5AAC"/>
      <name val="Calibri"/>
      <family val="0"/>
      <charset val="1"/>
    </font>
    <font>
      <b val="true"/>
      <sz val="12"/>
      <color rgb="FF1F2A44"/>
      <name val="Cambria"/>
      <family val="0"/>
      <charset val="1"/>
    </font>
    <font>
      <b val="true"/>
      <sz val="18"/>
      <color rgb="FF000000"/>
      <name val="Calibri"/>
      <family val="2"/>
    </font>
    <font>
      <sz val="10"/>
      <color rgb="FF000000"/>
      <name val="Calibri"/>
      <family val="2"/>
    </font>
    <font>
      <b val="true"/>
      <sz val="12"/>
      <color rgb="FF2E5AAC"/>
      <name val="Cambria"/>
      <family val="0"/>
      <charset val="1"/>
    </font>
    <font>
      <b val="true"/>
      <sz val="10"/>
      <color rgb="FF1F2A44"/>
      <name val="Cambria"/>
      <family val="0"/>
      <charset val="1"/>
    </font>
    <font>
      <b val="true"/>
      <sz val="10"/>
      <name val="Cambria"/>
      <family val="0"/>
      <charset val="1"/>
    </font>
    <font>
      <b val="true"/>
      <sz val="11"/>
      <color rgb="FF6AAA64"/>
      <name val="Cambria"/>
      <family val="0"/>
      <charset val="1"/>
    </font>
    <font>
      <sz val="11"/>
      <color rgb="FF2E5AAC"/>
      <name val="Menlo"/>
      <family val="0"/>
      <charset val="1"/>
    </font>
  </fonts>
  <fills count="6">
    <fill>
      <patternFill patternType="none"/>
    </fill>
    <fill>
      <patternFill patternType="gray125"/>
    </fill>
    <fill>
      <patternFill patternType="solid">
        <fgColor rgb="FF1F2A44"/>
        <bgColor rgb="FF1A1D26"/>
      </patternFill>
    </fill>
    <fill>
      <patternFill patternType="solid">
        <fgColor rgb="FF2E5AAC"/>
        <bgColor rgb="FF333399"/>
      </patternFill>
    </fill>
    <fill>
      <patternFill patternType="solid">
        <fgColor rgb="FFEEF2F9"/>
        <bgColor rgb="FFF2F3F5"/>
      </patternFill>
    </fill>
    <fill>
      <patternFill patternType="solid">
        <fgColor rgb="FFF5F6FA"/>
        <bgColor rgb="FFF2F3F5"/>
      </patternFill>
    </fill>
  </fills>
  <borders count="2">
    <border diagonalUp="false" diagonalDown="false">
      <left/>
      <right/>
      <top/>
      <bottom/>
      <diagonal/>
    </border>
    <border diagonalUp="false" diagonalDown="false">
      <left style="thin">
        <color rgb="FFC9D0DE"/>
      </left>
      <right style="thin">
        <color rgb="FFC9D0DE"/>
      </right>
      <top style="thin">
        <color rgb="FFC9D0DE"/>
      </top>
      <bottom style="thin">
        <color rgb="FFC9D0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8" fillId="4" borderId="1" xfId="0" applyFont="tru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8" fontId="0" fillId="4" borderId="1" xfId="0" applyFont="false" applyBorder="true" applyAlignment="false" applyProtection="false">
      <alignment horizontal="general" vertical="bottom" textRotation="0" wrapText="false" indent="0" shrinkToFit="false"/>
      <protection locked="true" hidden="false"/>
    </xf>
    <xf numFmtId="169" fontId="0" fillId="4" borderId="1"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D8ECD6"/>
        </patternFill>
      </fill>
    </dxf>
    <dxf>
      <fill>
        <patternFill>
          <bgColor rgb="FFFFF6D5"/>
        </patternFill>
      </fill>
    </dxf>
    <dxf>
      <fill>
        <patternFill>
          <bgColor rgb="FFD8F0D3"/>
        </patternFill>
      </fill>
    </dxf>
    <dxf>
      <fill>
        <patternFill>
          <bgColor rgb="FFF8D7DA"/>
        </patternFill>
      </fill>
    </dxf>
    <dxf>
      <font>
        <i val="1"/>
        <color rgb="FF9AA0A6"/>
      </font>
      <fill>
        <patternFill>
          <bgColor rgb="FFF2F3F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4C0"/>
      <rgbColor rgb="FF878787"/>
      <rgbColor rgb="FF8B5CF6"/>
      <rgbColor rgb="FF993366"/>
      <rgbColor rgb="FFFFF6D5"/>
      <rgbColor rgb="FFD8ECD6"/>
      <rgbColor rgb="FF660066"/>
      <rgbColor rgb="FFFF8080"/>
      <rgbColor rgb="FF2E5AAC"/>
      <rgbColor rgb="FFC9D0DE"/>
      <rgbColor rgb="FF000080"/>
      <rgbColor rgb="FFFF00FF"/>
      <rgbColor rgb="FFFFFF00"/>
      <rgbColor rgb="FF00FFFF"/>
      <rgbColor rgb="FF800080"/>
      <rgbColor rgb="FF800000"/>
      <rgbColor rgb="FF008080"/>
      <rgbColor rgb="FF0000FF"/>
      <rgbColor rgb="FF00CCFF"/>
      <rgbColor rgb="FFEEF2F9"/>
      <rgbColor rgb="FFD8F0D3"/>
      <rgbColor rgb="FFF2F3F5"/>
      <rgbColor rgb="FFD9D9D9"/>
      <rgbColor rgb="FFF5F6FA"/>
      <rgbColor rgb="FFCC99FF"/>
      <rgbColor rgb="FFF8D7DA"/>
      <rgbColor rgb="FF4F81BD"/>
      <rgbColor rgb="FF33CCCC"/>
      <rgbColor rgb="FFC9B458"/>
      <rgbColor rgb="FFFFCC00"/>
      <rgbColor rgb="FFFF9900"/>
      <rgbColor rgb="FFFF6600"/>
      <rgbColor rgb="FF6B7280"/>
      <rgbColor rgb="FF9AA0A6"/>
      <rgbColor rgb="FF003366"/>
      <rgbColor rgb="FF6AAA64"/>
      <rgbColor rgb="FF003300"/>
      <rgbColor rgb="FF1A1D26"/>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Overall standings /210</a:t>
            </a:r>
          </a:p>
        </c:rich>
      </c:tx>
      <c:overlay val="0"/>
      <c:spPr>
        <a:noFill/>
        <a:ln w="0">
          <a:noFill/>
        </a:ln>
      </c:spPr>
    </c:title>
    <c:autoTitleDeleted val="0"/>
    <c:plotArea>
      <c:barChart>
        <c:barDir val="bar"/>
        <c:grouping val="clustered"/>
        <c:varyColors val="0"/>
        <c:ser>
          <c:idx val="0"/>
          <c:order val="0"/>
          <c:tx>
            <c:strRef>
              <c:f>Dashboard!C11</c:f>
              <c:strCache>
                <c:ptCount val="1"/>
                <c:pt idx="0">
                  <c:v>Overall</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Dashboard!$B$12:$B$23</c:f>
              <c:strCache>
                <c:ptCount val="12"/>
                <c:pt idx="0">
                  <c:v>NeoBerlin</c:v>
                </c:pt>
                <c:pt idx="1">
                  <c:v>Demo-Alpha</c:v>
                </c:pt>
                <c:pt idx="2">
                  <c:v>Demo-Beta</c:v>
                </c:pt>
                <c:pt idx="3">
                  <c:v/>
                </c:pt>
                <c:pt idx="4">
                  <c:v/>
                </c:pt>
                <c:pt idx="5">
                  <c:v/>
                </c:pt>
                <c:pt idx="6">
                  <c:v/>
                </c:pt>
                <c:pt idx="7">
                  <c:v/>
                </c:pt>
                <c:pt idx="8">
                  <c:v/>
                </c:pt>
                <c:pt idx="9">
                  <c:v/>
                </c:pt>
                <c:pt idx="10">
                  <c:v/>
                </c:pt>
                <c:pt idx="11">
                  <c:v/>
                </c:pt>
              </c:strCache>
            </c:strRef>
          </c:cat>
          <c:val>
            <c:numRef>
              <c:f>Dashboard!$C$12:$C$23</c:f>
              <c:numCache>
                <c:formatCode>General</c:formatCode>
                <c:ptCount val="12"/>
                <c:pt idx="0">
                  <c:v>186</c:v>
                </c:pt>
                <c:pt idx="1">
                  <c:v>74</c:v>
                </c:pt>
                <c:pt idx="2">
                  <c:v>65</c:v>
                </c:pt>
              </c:numCache>
            </c:numRef>
          </c:val>
        </c:ser>
        <c:gapWidth val="150"/>
        <c:overlap val="0"/>
        <c:axId val="35768317"/>
        <c:axId val="39636863"/>
      </c:barChart>
      <c:catAx>
        <c:axId val="3576831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9636863"/>
        <c:crosses val="autoZero"/>
        <c:auto val="1"/>
        <c:lblAlgn val="ctr"/>
        <c:lblOffset val="100"/>
        <c:noMultiLvlLbl val="0"/>
      </c:catAx>
      <c:valAx>
        <c:axId val="39636863"/>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5768317"/>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9</xdr:row>
      <xdr:rowOff>0</xdr:rowOff>
    </xdr:from>
    <xdr:to>
      <xdr:col>9</xdr:col>
      <xdr:colOff>810360</xdr:colOff>
      <xdr:row>20</xdr:row>
      <xdr:rowOff>64080</xdr:rowOff>
    </xdr:to>
    <xdr:graphicFrame>
      <xdr:nvGraphicFramePr>
        <xdr:cNvPr id="1" name="Chart 1"/>
        <xdr:cNvGraphicFramePr/>
      </xdr:nvGraphicFramePr>
      <xdr:xfrm>
        <a:off x="3148920" y="1803960"/>
        <a:ext cx="503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92"/>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row>
    <row r="6" customFormat="false" ht="15" hidden="false" customHeight="false" outlineLevel="0" collapsed="false">
      <c r="B6" s="3" t="s">
        <v>2</v>
      </c>
      <c r="C6" s="4" t="s">
        <v>3</v>
      </c>
    </row>
    <row r="7" customFormat="false" ht="15" hidden="false" customHeight="false" outlineLevel="0" collapsed="false">
      <c r="B7" s="3"/>
      <c r="C7" s="4" t="s">
        <v>4</v>
      </c>
    </row>
    <row r="8" customFormat="false" ht="15" hidden="false" customHeight="false" outlineLevel="0" collapsed="false">
      <c r="B8" s="3"/>
      <c r="C8" s="4"/>
    </row>
    <row r="9" customFormat="false" ht="15" hidden="false" customHeight="false" outlineLevel="0" collapsed="false">
      <c r="B9" s="3" t="s">
        <v>5</v>
      </c>
      <c r="C9" s="4" t="s">
        <v>6</v>
      </c>
    </row>
    <row r="10" customFormat="false" ht="15" hidden="false" customHeight="false" outlineLevel="0" collapsed="false">
      <c r="B10" s="3"/>
      <c r="C10" s="4" t="s">
        <v>7</v>
      </c>
    </row>
    <row r="11" customFormat="false" ht="15" hidden="false" customHeight="false" outlineLevel="0" collapsed="false">
      <c r="B11" s="3"/>
      <c r="C11" s="4" t="s">
        <v>8</v>
      </c>
    </row>
    <row r="12" customFormat="false" ht="15" hidden="false" customHeight="false" outlineLevel="0" collapsed="false">
      <c r="B12" s="3"/>
      <c r="C12" s="4" t="s">
        <v>9</v>
      </c>
    </row>
    <row r="13" customFormat="false" ht="15" hidden="false" customHeight="false" outlineLevel="0" collapsed="false">
      <c r="B13" s="3"/>
      <c r="C13" s="4" t="s">
        <v>10</v>
      </c>
    </row>
    <row r="14" customFormat="false" ht="15" hidden="false" customHeight="false" outlineLevel="0" collapsed="false">
      <c r="B14" s="3"/>
      <c r="C14" s="4"/>
    </row>
    <row r="15" customFormat="false" ht="15" hidden="false" customHeight="false" outlineLevel="0" collapsed="false">
      <c r="B15" s="3" t="s">
        <v>11</v>
      </c>
      <c r="C15" s="4" t="s">
        <v>12</v>
      </c>
    </row>
    <row r="16" customFormat="false" ht="15" hidden="false" customHeight="false" outlineLevel="0" collapsed="false">
      <c r="B16" s="3"/>
      <c r="C16" s="4" t="s">
        <v>13</v>
      </c>
    </row>
    <row r="17" customFormat="false" ht="15" hidden="false" customHeight="false" outlineLevel="0" collapsed="false">
      <c r="B17" s="3"/>
      <c r="C17"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C"/>
    <pageSetUpPr fitToPage="false"/>
  </sheetPr>
  <dimension ref="B2:M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min="13" max="13" width="9" customWidth="1" hidden="1"/>
    <col min="12" max="12" width="9" customWidth="1" hidden="1"/>
    <col min="11" max="11" width="9" customWidth="1" hidden="1"/>
    <col collapsed="false" customWidth="true" hidden="false" outlineLevel="0" max="2" min="2" style="0" width="5"/>
    <col collapsed="false" customWidth="true" hidden="false" outlineLevel="0" max="3" min="3" style="0" width="20"/>
    <col collapsed="false" customWidth="true" hidden="false" outlineLevel="0" max="4" min="4" style="0" width="22"/>
    <col collapsed="false" customWidth="true" hidden="false" outlineLevel="0" max="5" min="5" style="0" width="52"/>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1"/>
    <col collapsed="false" customWidth="true" hidden="false" outlineLevel="0" max="10" min="10" style="0" width="9"/>
    <col collapsed="false" customWidth="true" hidden="true" outlineLevel="0" max="13" min="11" style="0" width="13"/>
  </cols>
  <sheetData>
    <row r="2" customFormat="false" ht="22.05" hidden="false" customHeight="false" outlineLevel="0" collapsed="false">
      <c r="B2" s="1" t="s">
        <v>15</v>
      </c>
    </row>
    <row r="4" customFormat="false" ht="15" hidden="false" customHeight="false" outlineLevel="0" collapsed="false">
      <c r="B4" s="5" t="s">
        <v>16</v>
      </c>
      <c r="C4" s="6" t="s">
        <v>17</v>
      </c>
      <c r="D4" s="6" t="s">
        <v>18</v>
      </c>
      <c r="E4" s="6" t="s">
        <v>19</v>
      </c>
      <c r="F4" s="6" t="s">
        <v>20</v>
      </c>
      <c r="G4" s="6" t="s">
        <v>21</v>
      </c>
      <c r="H4" s="6" t="s">
        <v>22</v>
      </c>
      <c r="I4" s="6" t="s">
        <v>23</v>
      </c>
      <c r="J4" s="6" t="s">
        <v>24</v>
      </c>
      <c r="K4" s="7" t="s">
        <v>25</v>
      </c>
      <c r="L4" s="7" t="s">
        <v>26</v>
      </c>
      <c r="M4" s="7" t="s">
        <v>27</v>
      </c>
    </row>
    <row r="5" customFormat="false" ht="15" hidden="false" customHeight="false" outlineLevel="0" collapsed="false">
      <c r="B5" s="8" t="n">
        <v>1</v>
      </c>
      <c r="C5" s="9" t="s">
        <v>28</v>
      </c>
      <c r="D5" s="9" t="s">
        <v>29</v>
      </c>
      <c r="E5" s="9" t="s">
        <v>30</v>
      </c>
      <c r="F5" s="10" t="n">
        <v>9</v>
      </c>
      <c r="G5" s="10" t="n">
        <v>9</v>
      </c>
      <c r="H5" s="10" t="n">
        <v>10</v>
      </c>
      <c r="I5" s="11" t="n">
        <f aca="false">IF(COUNT(F5:H5)=0,"",IF(COUNT(F5:H5)&lt;3,"incomplete",SUM(F5:H5)))</f>
        <v>28</v>
      </c>
      <c r="J5" s="11" t="str">
        <f aca="false">IF(NOT(ISNUMBER(I5)),IF(I5="incomplete","fill all three","") ,IF(I5&gt;=27,"★ Elite",IF(I5&gt;=21,"Strong",IF(I5&gt;=15,"Fair","Weak"))))</f>
        <v>★ Elite</v>
      </c>
      <c r="K5" s="12" t="n">
        <f aca="false">IF(ISNUMBER(I5),I5,0)</f>
        <v>28</v>
      </c>
      <c r="L5" s="12" t="n">
        <f aca="false">IF($C5="","",IF(COUNTIF($C$5:$C5,$C5)=1,1,""))</f>
        <v>1</v>
      </c>
      <c r="M5" s="12" t="s">
        <v>30</v>
      </c>
    </row>
    <row r="6" customFormat="false" ht="15" hidden="false" customHeight="false" outlineLevel="0" collapsed="false">
      <c r="B6" s="8" t="n">
        <v>2</v>
      </c>
      <c r="C6" s="9" t="s">
        <v>28</v>
      </c>
      <c r="D6" s="9" t="s">
        <v>29</v>
      </c>
      <c r="E6" s="9" t="s">
        <v>31</v>
      </c>
      <c r="F6" s="10" t="n">
        <v>9</v>
      </c>
      <c r="G6" s="10" t="n">
        <v>9</v>
      </c>
      <c r="H6" s="10" t="n">
        <v>10</v>
      </c>
      <c r="I6" s="11" t="n">
        <f aca="false">IF(COUNT(F6:H6)=0,"",IF(COUNT(F6:H6)&lt;3,"incomplete",SUM(F6:H6)))</f>
        <v>28</v>
      </c>
      <c r="J6" s="11" t="str">
        <f aca="false">IF(NOT(ISNUMBER(I6)),IF(I6="incomplete","fill all three","") ,IF(I6&gt;=27,"★ Elite",IF(I6&gt;=21,"Strong",IF(I6&gt;=15,"Fair","Weak"))))</f>
        <v>★ Elite</v>
      </c>
      <c r="K6" s="12" t="n">
        <f aca="false">IF(ISNUMBER(I6),I6,0)</f>
        <v>28</v>
      </c>
      <c r="L6" s="12" t="str">
        <f aca="false">IF($C6="","",IF(COUNTIF($C$5:$C6,$C6)=1,MAX($L$5:L5)+1,""))</f>
        <v/>
      </c>
      <c r="M6" s="12" t="s">
        <v>31</v>
      </c>
    </row>
    <row r="7" customFormat="false" ht="15" hidden="false" customHeight="false" outlineLevel="0" collapsed="false">
      <c r="B7" s="8" t="n">
        <v>3</v>
      </c>
      <c r="C7" s="9" t="s">
        <v>28</v>
      </c>
      <c r="D7" s="9" t="s">
        <v>29</v>
      </c>
      <c r="E7" s="9" t="s">
        <v>32</v>
      </c>
      <c r="F7" s="10" t="n">
        <v>9</v>
      </c>
      <c r="G7" s="10" t="n">
        <v>9</v>
      </c>
      <c r="H7" s="10" t="n">
        <v>9</v>
      </c>
      <c r="I7" s="11" t="n">
        <f aca="false">IF(COUNT(F7:H7)=0,"",IF(COUNT(F7:H7)&lt;3,"incomplete",SUM(F7:H7)))</f>
        <v>27</v>
      </c>
      <c r="J7" s="11" t="str">
        <f aca="false">IF(NOT(ISNUMBER(I7)),IF(I7="incomplete","fill all three","") ,IF(I7&gt;=27,"★ Elite",IF(I7&gt;=21,"Strong",IF(I7&gt;=15,"Fair","Weak"))))</f>
        <v>★ Elite</v>
      </c>
      <c r="K7" s="12" t="n">
        <f aca="false">IF(ISNUMBER(I7),I7,0)</f>
        <v>27</v>
      </c>
      <c r="L7" s="12" t="str">
        <f aca="false">IF($C7="","",IF(COUNTIF($C$5:$C7,$C7)=1,MAX($L$5:L6)+1,""))</f>
        <v/>
      </c>
      <c r="M7" s="12" t="s">
        <v>32</v>
      </c>
    </row>
    <row r="8" customFormat="false" ht="15" hidden="false" customHeight="false" outlineLevel="0" collapsed="false">
      <c r="B8" s="8" t="n">
        <v>4</v>
      </c>
      <c r="C8" s="9" t="s">
        <v>28</v>
      </c>
      <c r="D8" s="9" t="s">
        <v>29</v>
      </c>
      <c r="E8" s="9" t="s">
        <v>33</v>
      </c>
      <c r="F8" s="10" t="n">
        <v>9</v>
      </c>
      <c r="G8" s="10" t="n">
        <v>8</v>
      </c>
      <c r="H8" s="10" t="n">
        <v>9</v>
      </c>
      <c r="I8" s="11" t="n">
        <f aca="false">IF(COUNT(F8:H8)=0,"",IF(COUNT(F8:H8)&lt;3,"incomplete",SUM(F8:H8)))</f>
        <v>26</v>
      </c>
      <c r="J8" s="11" t="str">
        <f aca="false">IF(NOT(ISNUMBER(I8)),IF(I8="incomplete","fill all three","") ,IF(I8&gt;=27,"★ Elite",IF(I8&gt;=21,"Strong",IF(I8&gt;=15,"Fair","Weak"))))</f>
        <v>Strong</v>
      </c>
      <c r="K8" s="12" t="n">
        <f aca="false">IF(ISNUMBER(I8),I8,0)</f>
        <v>26</v>
      </c>
      <c r="L8" s="12" t="str">
        <f aca="false">IF($C8="","",IF(COUNTIF($C$5:$C8,$C8)=1,MAX($L$5:L7)+1,""))</f>
        <v/>
      </c>
      <c r="M8" s="12" t="s">
        <v>33</v>
      </c>
    </row>
    <row r="9" customFormat="false" ht="15" hidden="false" customHeight="false" outlineLevel="0" collapsed="false">
      <c r="B9" s="8" t="n">
        <v>5</v>
      </c>
      <c r="C9" s="9" t="s">
        <v>28</v>
      </c>
      <c r="D9" s="9" t="s">
        <v>29</v>
      </c>
      <c r="E9" s="9" t="s">
        <v>34</v>
      </c>
      <c r="F9" s="10" t="n">
        <v>9</v>
      </c>
      <c r="G9" s="10" t="n">
        <v>9</v>
      </c>
      <c r="H9" s="10" t="n">
        <v>8</v>
      </c>
      <c r="I9" s="11" t="n">
        <f aca="false">IF(COUNT(F9:H9)=0,"",IF(COUNT(F9:H9)&lt;3,"incomplete",SUM(F9:H9)))</f>
        <v>26</v>
      </c>
      <c r="J9" s="11" t="str">
        <f aca="false">IF(NOT(ISNUMBER(I9)),IF(I9="incomplete","fill all three","") ,IF(I9&gt;=27,"★ Elite",IF(I9&gt;=21,"Strong",IF(I9&gt;=15,"Fair","Weak"))))</f>
        <v>Strong</v>
      </c>
      <c r="K9" s="12" t="n">
        <f aca="false">IF(ISNUMBER(I9),I9,0)</f>
        <v>26</v>
      </c>
      <c r="L9" s="12" t="str">
        <f aca="false">IF($C9="","",IF(COUNTIF($C$5:$C9,$C9)=1,MAX($L$5:L8)+1,""))</f>
        <v/>
      </c>
      <c r="M9" s="12" t="s">
        <v>34</v>
      </c>
    </row>
    <row r="10" customFormat="false" ht="15" hidden="false" customHeight="false" outlineLevel="0" collapsed="false">
      <c r="B10" s="8" t="n">
        <v>6</v>
      </c>
      <c r="C10" s="9" t="s">
        <v>28</v>
      </c>
      <c r="D10" s="9" t="s">
        <v>29</v>
      </c>
      <c r="E10" s="9" t="s">
        <v>35</v>
      </c>
      <c r="F10" s="10" t="n">
        <v>9</v>
      </c>
      <c r="G10" s="10" t="n">
        <v>9</v>
      </c>
      <c r="H10" s="10" t="n">
        <v>8</v>
      </c>
      <c r="I10" s="11" t="n">
        <f aca="false">IF(COUNT(F10:H10)=0,"",IF(COUNT(F10:H10)&lt;3,"incomplete",SUM(F10:H10)))</f>
        <v>26</v>
      </c>
      <c r="J10" s="11" t="str">
        <f aca="false">IF(NOT(ISNUMBER(I10)),IF(I10="incomplete","fill all three","") ,IF(I10&gt;=27,"★ Elite",IF(I10&gt;=21,"Strong",IF(I10&gt;=15,"Fair","Weak"))))</f>
        <v>Strong</v>
      </c>
      <c r="K10" s="12" t="n">
        <f aca="false">IF(ISNUMBER(I10),I10,0)</f>
        <v>26</v>
      </c>
      <c r="L10" s="12" t="str">
        <f aca="false">IF($C10="","",IF(COUNTIF($C$5:$C10,$C10)=1,MAX($L$5:L9)+1,""))</f>
        <v/>
      </c>
      <c r="M10" s="12" t="s">
        <v>35</v>
      </c>
    </row>
    <row r="11" customFormat="false" ht="15" hidden="false" customHeight="false" outlineLevel="0" collapsed="false">
      <c r="B11" s="8" t="n">
        <v>7</v>
      </c>
      <c r="C11" s="9" t="s">
        <v>28</v>
      </c>
      <c r="D11" s="9" t="s">
        <v>29</v>
      </c>
      <c r="E11" s="9" t="s">
        <v>36</v>
      </c>
      <c r="F11" s="10" t="n">
        <v>8</v>
      </c>
      <c r="G11" s="10" t="n">
        <v>9</v>
      </c>
      <c r="H11" s="10" t="n">
        <v>8</v>
      </c>
      <c r="I11" s="11" t="n">
        <f aca="false">IF(COUNT(F11:H11)=0,"",IF(COUNT(F11:H11)&lt;3,"incomplete",SUM(F11:H11)))</f>
        <v>25</v>
      </c>
      <c r="J11" s="11" t="str">
        <f aca="false">IF(NOT(ISNUMBER(I11)),IF(I11="incomplete","fill all three","") ,IF(I11&gt;=27,"★ Elite",IF(I11&gt;=21,"Strong",IF(I11&gt;=15,"Fair","Weak"))))</f>
        <v>Strong</v>
      </c>
      <c r="K11" s="12" t="n">
        <f aca="false">IF(ISNUMBER(I11),I11,0)</f>
        <v>25</v>
      </c>
      <c r="L11" s="12" t="str">
        <f aca="false">IF($C11="","",IF(COUNTIF($C$5:$C11,$C11)=1,MAX($L$5:L10)+1,""))</f>
        <v/>
      </c>
      <c r="M11" s="12" t="s">
        <v>36</v>
      </c>
    </row>
    <row r="12" customFormat="false" ht="15" hidden="false" customHeight="false" outlineLevel="0" collapsed="false">
      <c r="B12" s="8" t="n">
        <v>8</v>
      </c>
      <c r="C12" s="9" t="s">
        <v>37</v>
      </c>
      <c r="D12" s="9" t="s">
        <v>38</v>
      </c>
      <c r="E12" s="9" t="s">
        <v>30</v>
      </c>
      <c r="F12" s="10" t="n">
        <v>8</v>
      </c>
      <c r="G12" s="10" t="n">
        <v>9</v>
      </c>
      <c r="H12" s="10" t="n">
        <v>8</v>
      </c>
      <c r="I12" s="11" t="n">
        <f aca="false">IF(COUNT(F12:H12)=0,"",IF(COUNT(F12:H12)&lt;3,"incomplete",SUM(F12:H12)))</f>
        <v>25</v>
      </c>
      <c r="J12" s="11" t="str">
        <f aca="false">IF(NOT(ISNUMBER(I12)),IF(I12="incomplete","fill all three","") ,IF(I12&gt;=27,"★ Elite",IF(I12&gt;=21,"Strong",IF(I12&gt;=15,"Fair","Weak"))))</f>
        <v>Strong</v>
      </c>
      <c r="K12" s="12" t="n">
        <f aca="false">IF(ISNUMBER(I12),I12,0)</f>
        <v>25</v>
      </c>
      <c r="L12" s="12" t="n">
        <f aca="false">IF($C12="","",IF(COUNTIF($C$5:$C12,$C12)=1,MAX($L$5:L11)+1,""))</f>
        <v>2</v>
      </c>
    </row>
    <row r="13" customFormat="false" ht="15" hidden="false" customHeight="false" outlineLevel="0" collapsed="false">
      <c r="B13" s="8" t="n">
        <v>9</v>
      </c>
      <c r="C13" s="9" t="s">
        <v>37</v>
      </c>
      <c r="D13" s="9" t="s">
        <v>38</v>
      </c>
      <c r="E13" s="9" t="s">
        <v>31</v>
      </c>
      <c r="F13" s="10" t="n">
        <v>9</v>
      </c>
      <c r="G13" s="10" t="n">
        <v>8</v>
      </c>
      <c r="H13" s="10" t="n">
        <v>8</v>
      </c>
      <c r="I13" s="11" t="n">
        <f aca="false">IF(COUNT(F13:H13)=0,"",IF(COUNT(F13:H13)&lt;3,"incomplete",SUM(F13:H13)))</f>
        <v>25</v>
      </c>
      <c r="J13" s="11" t="str">
        <f aca="false">IF(NOT(ISNUMBER(I13)),IF(I13="incomplete","fill all three","") ,IF(I13&gt;=27,"★ Elite",IF(I13&gt;=21,"Strong",IF(I13&gt;=15,"Fair","Weak"))))</f>
        <v>Strong</v>
      </c>
      <c r="K13" s="12" t="n">
        <f aca="false">IF(ISNUMBER(I13),I13,0)</f>
        <v>25</v>
      </c>
      <c r="L13" s="12" t="str">
        <f aca="false">IF($C13="","",IF(COUNTIF($C$5:$C13,$C13)=1,MAX($L$5:L12)+1,""))</f>
        <v/>
      </c>
    </row>
    <row r="14" customFormat="false" ht="15" hidden="false" customHeight="false" outlineLevel="0" collapsed="false">
      <c r="B14" s="8" t="n">
        <v>10</v>
      </c>
      <c r="C14" s="9" t="s">
        <v>37</v>
      </c>
      <c r="D14" s="9" t="s">
        <v>38</v>
      </c>
      <c r="E14" s="9" t="s">
        <v>32</v>
      </c>
      <c r="F14" s="10" t="n">
        <v>7</v>
      </c>
      <c r="G14" s="10" t="n">
        <v>8</v>
      </c>
      <c r="H14" s="10" t="n">
        <v>9</v>
      </c>
      <c r="I14" s="11" t="n">
        <f aca="false">IF(COUNT(F14:H14)=0,"",IF(COUNT(F14:H14)&lt;3,"incomplete",SUM(F14:H14)))</f>
        <v>24</v>
      </c>
      <c r="J14" s="11" t="str">
        <f aca="false">IF(NOT(ISNUMBER(I14)),IF(I14="incomplete","fill all three","") ,IF(I14&gt;=27,"★ Elite",IF(I14&gt;=21,"Strong",IF(I14&gt;=15,"Fair","Weak"))))</f>
        <v>Strong</v>
      </c>
      <c r="K14" s="12" t="n">
        <f aca="false">IF(ISNUMBER(I14),I14,0)</f>
        <v>24</v>
      </c>
      <c r="L14" s="12" t="str">
        <f aca="false">IF($C14="","",IF(COUNTIF($C$5:$C14,$C14)=1,MAX($L$5:L13)+1,""))</f>
        <v/>
      </c>
    </row>
    <row r="15" customFormat="false" ht="15" hidden="false" customHeight="false" outlineLevel="0" collapsed="false">
      <c r="B15" s="8" t="n">
        <v>11</v>
      </c>
      <c r="C15" s="9" t="s">
        <v>37</v>
      </c>
      <c r="D15" s="9" t="s">
        <v>38</v>
      </c>
      <c r="E15" s="9" t="s">
        <v>32</v>
      </c>
      <c r="F15" s="10" t="n">
        <v>6</v>
      </c>
      <c r="G15" s="10" t="n">
        <v>7</v>
      </c>
      <c r="H15" s="10" t="n">
        <v>8</v>
      </c>
      <c r="I15" s="11" t="n">
        <f aca="false">IF(COUNT(F15:H15)=0,"",IF(COUNT(F15:H15)&lt;3,"incomplete",SUM(F15:H15)))</f>
        <v>21</v>
      </c>
      <c r="J15" s="11" t="str">
        <f aca="false">IF(NOT(ISNUMBER(I15)),IF(I15="incomplete","fill all three","") ,IF(I15&gt;=27,"★ Elite",IF(I15&gt;=21,"Strong",IF(I15&gt;=15,"Fair","Weak"))))</f>
        <v>Strong</v>
      </c>
      <c r="K15" s="12" t="n">
        <f aca="false">IF(ISNUMBER(I15),I15,0)</f>
        <v>21</v>
      </c>
      <c r="L15" s="12" t="str">
        <f aca="false">IF($C15="","",IF(COUNTIF($C$5:$C15,$C15)=1,MAX($L$5:L14)+1,""))</f>
        <v/>
      </c>
    </row>
    <row r="16" customFormat="false" ht="15" hidden="false" customHeight="false" outlineLevel="0" collapsed="false">
      <c r="B16" s="8" t="n">
        <v>12</v>
      </c>
      <c r="C16" s="9" t="s">
        <v>39</v>
      </c>
      <c r="D16" s="9" t="s">
        <v>38</v>
      </c>
      <c r="E16" s="9" t="s">
        <v>30</v>
      </c>
      <c r="F16" s="10" t="n">
        <v>7</v>
      </c>
      <c r="G16" s="10" t="n">
        <v>7</v>
      </c>
      <c r="H16" s="10" t="n">
        <v>6</v>
      </c>
      <c r="I16" s="11" t="n">
        <f aca="false">IF(COUNT(F16:H16)=0,"",IF(COUNT(F16:H16)&lt;3,"incomplete",SUM(F16:H16)))</f>
        <v>20</v>
      </c>
      <c r="J16" s="11" t="str">
        <f aca="false">IF(NOT(ISNUMBER(I16)),IF(I16="incomplete","fill all three","") ,IF(I16&gt;=27,"★ Elite",IF(I16&gt;=21,"Strong",IF(I16&gt;=15,"Fair","Weak"))))</f>
        <v>Fair</v>
      </c>
      <c r="K16" s="12" t="n">
        <f aca="false">IF(ISNUMBER(I16),I16,0)</f>
        <v>20</v>
      </c>
      <c r="L16" s="12" t="n">
        <f aca="false">IF($C16="","",IF(COUNTIF($C$5:$C16,$C16)=1,MAX($L$5:L15)+1,""))</f>
        <v>3</v>
      </c>
    </row>
    <row r="17" customFormat="false" ht="15" hidden="false" customHeight="false" outlineLevel="0" collapsed="false">
      <c r="B17" s="8" t="n">
        <v>13</v>
      </c>
      <c r="C17" s="9" t="s">
        <v>39</v>
      </c>
      <c r="D17" s="9" t="s">
        <v>38</v>
      </c>
      <c r="E17" s="9" t="s">
        <v>33</v>
      </c>
      <c r="F17" s="10" t="n">
        <v>8</v>
      </c>
      <c r="G17" s="10" t="n">
        <v>8</v>
      </c>
      <c r="H17" s="10" t="n">
        <v>7</v>
      </c>
      <c r="I17" s="11" t="n">
        <f aca="false">IF(COUNT(F17:H17)=0,"",IF(COUNT(F17:H17)&lt;3,"incomplete",SUM(F17:H17)))</f>
        <v>23</v>
      </c>
      <c r="J17" s="11" t="str">
        <f aca="false">IF(NOT(ISNUMBER(I17)),IF(I17="incomplete","fill all three","") ,IF(I17&gt;=27,"★ Elite",IF(I17&gt;=21,"Strong",IF(I17&gt;=15,"Fair","Weak"))))</f>
        <v>Strong</v>
      </c>
      <c r="K17" s="12" t="n">
        <f aca="false">IF(ISNUMBER(I17),I17,0)</f>
        <v>23</v>
      </c>
      <c r="L17" s="12" t="str">
        <f aca="false">IF($C17="","",IF(COUNTIF($C$5:$C17,$C17)=1,MAX($L$5:L16)+1,""))</f>
        <v/>
      </c>
    </row>
    <row r="18" customFormat="false" ht="15" hidden="false" customHeight="false" outlineLevel="0" collapsed="false">
      <c r="B18" s="8" t="n">
        <v>14</v>
      </c>
      <c r="C18" s="9" t="s">
        <v>39</v>
      </c>
      <c r="D18" s="9" t="s">
        <v>38</v>
      </c>
      <c r="E18" s="9" t="s">
        <v>34</v>
      </c>
      <c r="F18" s="10" t="n">
        <v>7</v>
      </c>
      <c r="G18" s="10" t="n">
        <v>8</v>
      </c>
      <c r="H18" s="10" t="n">
        <v>7</v>
      </c>
      <c r="I18" s="11" t="n">
        <f aca="false">IF(COUNT(F18:H18)=0,"",IF(COUNT(F18:H18)&lt;3,"incomplete",SUM(F18:H18)))</f>
        <v>22</v>
      </c>
      <c r="J18" s="11" t="str">
        <f aca="false">IF(NOT(ISNUMBER(I18)),IF(I18="incomplete","fill all three","") ,IF(I18&gt;=27,"★ Elite",IF(I18&gt;=21,"Strong",IF(I18&gt;=15,"Fair","Weak"))))</f>
        <v>Strong</v>
      </c>
      <c r="K18" s="12" t="n">
        <f aca="false">IF(ISNUMBER(I18),I18,0)</f>
        <v>22</v>
      </c>
      <c r="L18" s="12" t="str">
        <f aca="false">IF($C18="","",IF(COUNTIF($C$5:$C18,$C18)=1,MAX($L$5:L17)+1,""))</f>
        <v/>
      </c>
    </row>
    <row r="19" customFormat="false" ht="15" hidden="false" customHeight="false" outlineLevel="0" collapsed="false">
      <c r="B19" s="8" t="n">
        <v>15</v>
      </c>
      <c r="C19" s="9"/>
      <c r="D19" s="9"/>
      <c r="E19" s="9"/>
      <c r="F19" s="10"/>
      <c r="G19" s="10"/>
      <c r="H19" s="10"/>
      <c r="I19" s="11" t="str">
        <f aca="false">IF(COUNT(F19:H19)=0,"",IF(COUNT(F19:H19)&lt;3,"incomplete",SUM(F19:H19)))</f>
        <v/>
      </c>
      <c r="J19" s="11" t="str">
        <f aca="false">IF(NOT(ISNUMBER(I19)),IF(I19="incomplete","fill all three","") ,IF(I19&gt;=27,"★ Elite",IF(I19&gt;=21,"Strong",IF(I19&gt;=15,"Fair","Weak"))))</f>
        <v/>
      </c>
      <c r="K19" s="12" t="n">
        <f aca="false">IF(ISNUMBER(I19),I19,0)</f>
        <v>0</v>
      </c>
      <c r="L19" s="12" t="str">
        <f aca="false">IF($C19="","",IF(COUNTIF($C$5:$C19,$C19)=1,MAX($L$5:L18)+1,""))</f>
        <v/>
      </c>
    </row>
    <row r="20" customFormat="false" ht="15" hidden="false" customHeight="false" outlineLevel="0" collapsed="false">
      <c r="B20" s="8" t="n">
        <v>16</v>
      </c>
      <c r="C20" s="9"/>
      <c r="D20" s="9"/>
      <c r="E20" s="9"/>
      <c r="F20" s="10"/>
      <c r="G20" s="10"/>
      <c r="H20" s="10"/>
      <c r="I20" s="11" t="str">
        <f aca="false">IF(COUNT(F20:H20)=0,"",IF(COUNT(F20:H20)&lt;3,"incomplete",SUM(F20:H20)))</f>
        <v/>
      </c>
      <c r="J20" s="11" t="str">
        <f aca="false">IF(NOT(ISNUMBER(I20)),IF(I20="incomplete","fill all three","") ,IF(I20&gt;=27,"★ Elite",IF(I20&gt;=21,"Strong",IF(I20&gt;=15,"Fair","Weak"))))</f>
        <v/>
      </c>
      <c r="K20" s="12" t="n">
        <f aca="false">IF(ISNUMBER(I20),I20,0)</f>
        <v>0</v>
      </c>
      <c r="L20" s="12" t="str">
        <f aca="false">IF($C20="","",IF(COUNTIF($C$5:$C20,$C20)=1,MAX($L$5:L19)+1,""))</f>
        <v/>
      </c>
    </row>
    <row r="21" customFormat="false" ht="15" hidden="false" customHeight="false" outlineLevel="0" collapsed="false">
      <c r="B21" s="8" t="n">
        <v>17</v>
      </c>
      <c r="C21" s="9"/>
      <c r="D21" s="9"/>
      <c r="E21" s="9"/>
      <c r="F21" s="10"/>
      <c r="G21" s="10"/>
      <c r="H21" s="10"/>
      <c r="I21" s="11" t="str">
        <f aca="false">IF(COUNT(F21:H21)=0,"",IF(COUNT(F21:H21)&lt;3,"incomplete",SUM(F21:H21)))</f>
        <v/>
      </c>
      <c r="J21" s="11" t="str">
        <f aca="false">IF(NOT(ISNUMBER(I21)),IF(I21="incomplete","fill all three","") ,IF(I21&gt;=27,"★ Elite",IF(I21&gt;=21,"Strong",IF(I21&gt;=15,"Fair","Weak"))))</f>
        <v/>
      </c>
      <c r="K21" s="12" t="n">
        <f aca="false">IF(ISNUMBER(I21),I21,0)</f>
        <v>0</v>
      </c>
      <c r="L21" s="12" t="str">
        <f aca="false">IF($C21="","",IF(COUNTIF($C$5:$C21,$C21)=1,MAX($L$5:L20)+1,""))</f>
        <v/>
      </c>
    </row>
    <row r="22" customFormat="false" ht="15" hidden="false" customHeight="false" outlineLevel="0" collapsed="false">
      <c r="B22" s="8" t="n">
        <v>18</v>
      </c>
      <c r="C22" s="9"/>
      <c r="D22" s="9"/>
      <c r="E22" s="9"/>
      <c r="F22" s="10"/>
      <c r="G22" s="10"/>
      <c r="H22" s="10"/>
      <c r="I22" s="11" t="str">
        <f aca="false">IF(COUNT(F22:H22)=0,"",IF(COUNT(F22:H22)&lt;3,"incomplete",SUM(F22:H22)))</f>
        <v/>
      </c>
      <c r="J22" s="11" t="str">
        <f aca="false">IF(NOT(ISNUMBER(I22)),IF(I22="incomplete","fill all three","") ,IF(I22&gt;=27,"★ Elite",IF(I22&gt;=21,"Strong",IF(I22&gt;=15,"Fair","Weak"))))</f>
        <v/>
      </c>
      <c r="K22" s="12" t="n">
        <f aca="false">IF(ISNUMBER(I22),I22,0)</f>
        <v>0</v>
      </c>
      <c r="L22" s="12" t="str">
        <f aca="false">IF($C22="","",IF(COUNTIF($C$5:$C22,$C22)=1,MAX($L$5:L21)+1,""))</f>
        <v/>
      </c>
    </row>
    <row r="23" customFormat="false" ht="15" hidden="false" customHeight="false" outlineLevel="0" collapsed="false">
      <c r="B23" s="8" t="n">
        <v>19</v>
      </c>
      <c r="C23" s="9"/>
      <c r="D23" s="9"/>
      <c r="E23" s="9"/>
      <c r="F23" s="10"/>
      <c r="G23" s="10"/>
      <c r="H23" s="10"/>
      <c r="I23" s="11" t="str">
        <f aca="false">IF(COUNT(F23:H23)=0,"",IF(COUNT(F23:H23)&lt;3,"incomplete",SUM(F23:H23)))</f>
        <v/>
      </c>
      <c r="J23" s="11" t="str">
        <f aca="false">IF(NOT(ISNUMBER(I23)),IF(I23="incomplete","fill all three","") ,IF(I23&gt;=27,"★ Elite",IF(I23&gt;=21,"Strong",IF(I23&gt;=15,"Fair","Weak"))))</f>
        <v/>
      </c>
      <c r="K23" s="12" t="n">
        <f aca="false">IF(ISNUMBER(I23),I23,0)</f>
        <v>0</v>
      </c>
      <c r="L23" s="12" t="str">
        <f aca="false">IF($C23="","",IF(COUNTIF($C$5:$C23,$C23)=1,MAX($L$5:L22)+1,""))</f>
        <v/>
      </c>
    </row>
    <row r="24" customFormat="false" ht="15" hidden="false" customHeight="false" outlineLevel="0" collapsed="false">
      <c r="B24" s="8" t="n">
        <v>20</v>
      </c>
      <c r="C24" s="9"/>
      <c r="D24" s="9"/>
      <c r="E24" s="9"/>
      <c r="F24" s="10"/>
      <c r="G24" s="10"/>
      <c r="H24" s="10"/>
      <c r="I24" s="11" t="str">
        <f aca="false">IF(COUNT(F24:H24)=0,"",IF(COUNT(F24:H24)&lt;3,"incomplete",SUM(F24:H24)))</f>
        <v/>
      </c>
      <c r="J24" s="11" t="str">
        <f aca="false">IF(NOT(ISNUMBER(I24)),IF(I24="incomplete","fill all three","") ,IF(I24&gt;=27,"★ Elite",IF(I24&gt;=21,"Strong",IF(I24&gt;=15,"Fair","Weak"))))</f>
        <v/>
      </c>
      <c r="K24" s="12" t="n">
        <f aca="false">IF(ISNUMBER(I24),I24,0)</f>
        <v>0</v>
      </c>
      <c r="L24" s="12" t="str">
        <f aca="false">IF($C24="","",IF(COUNTIF($C$5:$C24,$C24)=1,MAX($L$5:L23)+1,""))</f>
        <v/>
      </c>
    </row>
    <row r="25" customFormat="false" ht="15" hidden="false" customHeight="false" outlineLevel="0" collapsed="false">
      <c r="B25" s="8" t="n">
        <v>21</v>
      </c>
      <c r="C25" s="9"/>
      <c r="D25" s="9"/>
      <c r="E25" s="9"/>
      <c r="F25" s="10"/>
      <c r="G25" s="10"/>
      <c r="H25" s="10"/>
      <c r="I25" s="11" t="str">
        <f aca="false">IF(COUNT(F25:H25)=0,"",IF(COUNT(F25:H25)&lt;3,"incomplete",SUM(F25:H25)))</f>
        <v/>
      </c>
      <c r="J25" s="11" t="str">
        <f aca="false">IF(NOT(ISNUMBER(I25)),IF(I25="incomplete","fill all three","") ,IF(I25&gt;=27,"★ Elite",IF(I25&gt;=21,"Strong",IF(I25&gt;=15,"Fair","Weak"))))</f>
        <v/>
      </c>
      <c r="K25" s="12" t="n">
        <f aca="false">IF(ISNUMBER(I25),I25,0)</f>
        <v>0</v>
      </c>
      <c r="L25" s="12" t="str">
        <f aca="false">IF($C25="","",IF(COUNTIF($C$5:$C25,$C25)=1,MAX($L$5:L24)+1,""))</f>
        <v/>
      </c>
    </row>
    <row r="26" customFormat="false" ht="15" hidden="false" customHeight="false" outlineLevel="0" collapsed="false">
      <c r="B26" s="8" t="n">
        <v>22</v>
      </c>
      <c r="C26" s="9"/>
      <c r="D26" s="9"/>
      <c r="E26" s="9"/>
      <c r="F26" s="10"/>
      <c r="G26" s="10"/>
      <c r="H26" s="10"/>
      <c r="I26" s="11" t="str">
        <f aca="false">IF(COUNT(F26:H26)=0,"",IF(COUNT(F26:H26)&lt;3,"incomplete",SUM(F26:H26)))</f>
        <v/>
      </c>
      <c r="J26" s="11" t="str">
        <f aca="false">IF(NOT(ISNUMBER(I26)),IF(I26="incomplete","fill all three","") ,IF(I26&gt;=27,"★ Elite",IF(I26&gt;=21,"Strong",IF(I26&gt;=15,"Fair","Weak"))))</f>
        <v/>
      </c>
      <c r="K26" s="12" t="n">
        <f aca="false">IF(ISNUMBER(I26),I26,0)</f>
        <v>0</v>
      </c>
      <c r="L26" s="12" t="str">
        <f aca="false">IF($C26="","",IF(COUNTIF($C$5:$C26,$C26)=1,MAX($L$5:L25)+1,""))</f>
        <v/>
      </c>
    </row>
    <row r="27" customFormat="false" ht="15" hidden="false" customHeight="false" outlineLevel="0" collapsed="false">
      <c r="B27" s="8" t="n">
        <v>23</v>
      </c>
      <c r="C27" s="9"/>
      <c r="D27" s="9"/>
      <c r="E27" s="9"/>
      <c r="F27" s="10"/>
      <c r="G27" s="10"/>
      <c r="H27" s="10"/>
      <c r="I27" s="11" t="str">
        <f aca="false">IF(COUNT(F27:H27)=0,"",IF(COUNT(F27:H27)&lt;3,"incomplete",SUM(F27:H27)))</f>
        <v/>
      </c>
      <c r="J27" s="11" t="str">
        <f aca="false">IF(NOT(ISNUMBER(I27)),IF(I27="incomplete","fill all three","") ,IF(I27&gt;=27,"★ Elite",IF(I27&gt;=21,"Strong",IF(I27&gt;=15,"Fair","Weak"))))</f>
        <v/>
      </c>
      <c r="K27" s="12" t="n">
        <f aca="false">IF(ISNUMBER(I27),I27,0)</f>
        <v>0</v>
      </c>
      <c r="L27" s="12" t="str">
        <f aca="false">IF($C27="","",IF(COUNTIF($C$5:$C27,$C27)=1,MAX($L$5:L26)+1,""))</f>
        <v/>
      </c>
    </row>
    <row r="28" customFormat="false" ht="15" hidden="false" customHeight="false" outlineLevel="0" collapsed="false">
      <c r="B28" s="8" t="n">
        <v>24</v>
      </c>
      <c r="C28" s="9"/>
      <c r="D28" s="9"/>
      <c r="E28" s="9"/>
      <c r="F28" s="10"/>
      <c r="G28" s="10"/>
      <c r="H28" s="10"/>
      <c r="I28" s="11" t="str">
        <f aca="false">IF(COUNT(F28:H28)=0,"",IF(COUNT(F28:H28)&lt;3,"incomplete",SUM(F28:H28)))</f>
        <v/>
      </c>
      <c r="J28" s="11" t="str">
        <f aca="false">IF(NOT(ISNUMBER(I28)),IF(I28="incomplete","fill all three","") ,IF(I28&gt;=27,"★ Elite",IF(I28&gt;=21,"Strong",IF(I28&gt;=15,"Fair","Weak"))))</f>
        <v/>
      </c>
      <c r="K28" s="12" t="n">
        <f aca="false">IF(ISNUMBER(I28),I28,0)</f>
        <v>0</v>
      </c>
      <c r="L28" s="12" t="str">
        <f aca="false">IF($C28="","",IF(COUNTIF($C$5:$C28,$C28)=1,MAX($L$5:L27)+1,""))</f>
        <v/>
      </c>
    </row>
    <row r="29" customFormat="false" ht="15" hidden="false" customHeight="false" outlineLevel="0" collapsed="false">
      <c r="B29" s="8" t="n">
        <v>25</v>
      </c>
      <c r="C29" s="9"/>
      <c r="D29" s="9"/>
      <c r="E29" s="9"/>
      <c r="F29" s="10"/>
      <c r="G29" s="10"/>
      <c r="H29" s="10"/>
      <c r="I29" s="11" t="str">
        <f aca="false">IF(COUNT(F29:H29)=0,"",IF(COUNT(F29:H29)&lt;3,"incomplete",SUM(F29:H29)))</f>
        <v/>
      </c>
      <c r="J29" s="11" t="str">
        <f aca="false">IF(NOT(ISNUMBER(I29)),IF(I29="incomplete","fill all three","") ,IF(I29&gt;=27,"★ Elite",IF(I29&gt;=21,"Strong",IF(I29&gt;=15,"Fair","Weak"))))</f>
        <v/>
      </c>
      <c r="K29" s="12" t="n">
        <f aca="false">IF(ISNUMBER(I29),I29,0)</f>
        <v>0</v>
      </c>
      <c r="L29" s="12" t="str">
        <f aca="false">IF($C29="","",IF(COUNTIF($C$5:$C29,$C29)=1,MAX($L$5:L28)+1,""))</f>
        <v/>
      </c>
    </row>
    <row r="30" customFormat="false" ht="15" hidden="false" customHeight="false" outlineLevel="0" collapsed="false">
      <c r="B30" s="8" t="n">
        <v>26</v>
      </c>
      <c r="C30" s="9"/>
      <c r="D30" s="9"/>
      <c r="E30" s="9"/>
      <c r="F30" s="10"/>
      <c r="G30" s="10"/>
      <c r="H30" s="10"/>
      <c r="I30" s="11" t="str">
        <f aca="false">IF(COUNT(F30:H30)=0,"",IF(COUNT(F30:H30)&lt;3,"incomplete",SUM(F30:H30)))</f>
        <v/>
      </c>
      <c r="J30" s="11" t="str">
        <f aca="false">IF(NOT(ISNUMBER(I30)),IF(I30="incomplete","fill all three","") ,IF(I30&gt;=27,"★ Elite",IF(I30&gt;=21,"Strong",IF(I30&gt;=15,"Fair","Weak"))))</f>
        <v/>
      </c>
      <c r="K30" s="12" t="n">
        <f aca="false">IF(ISNUMBER(I30),I30,0)</f>
        <v>0</v>
      </c>
      <c r="L30" s="12" t="str">
        <f aca="false">IF($C30="","",IF(COUNTIF($C$5:$C30,$C30)=1,MAX($L$5:L29)+1,""))</f>
        <v/>
      </c>
    </row>
    <row r="31" customFormat="false" ht="15" hidden="false" customHeight="false" outlineLevel="0" collapsed="false">
      <c r="B31" s="8" t="n">
        <v>27</v>
      </c>
      <c r="C31" s="9"/>
      <c r="D31" s="9"/>
      <c r="E31" s="9"/>
      <c r="F31" s="10"/>
      <c r="G31" s="10"/>
      <c r="H31" s="10"/>
      <c r="I31" s="11" t="str">
        <f aca="false">IF(COUNT(F31:H31)=0,"",IF(COUNT(F31:H31)&lt;3,"incomplete",SUM(F31:H31)))</f>
        <v/>
      </c>
      <c r="J31" s="11" t="str">
        <f aca="false">IF(NOT(ISNUMBER(I31)),IF(I31="incomplete","fill all three","") ,IF(I31&gt;=27,"★ Elite",IF(I31&gt;=21,"Strong",IF(I31&gt;=15,"Fair","Weak"))))</f>
        <v/>
      </c>
      <c r="K31" s="12" t="n">
        <f aca="false">IF(ISNUMBER(I31),I31,0)</f>
        <v>0</v>
      </c>
      <c r="L31" s="12" t="str">
        <f aca="false">IF($C31="","",IF(COUNTIF($C$5:$C31,$C31)=1,MAX($L$5:L30)+1,""))</f>
        <v/>
      </c>
    </row>
    <row r="32" customFormat="false" ht="15" hidden="false" customHeight="false" outlineLevel="0" collapsed="false">
      <c r="B32" s="8" t="n">
        <v>28</v>
      </c>
      <c r="C32" s="9"/>
      <c r="D32" s="9"/>
      <c r="E32" s="9"/>
      <c r="F32" s="10"/>
      <c r="G32" s="10"/>
      <c r="H32" s="10"/>
      <c r="I32" s="11" t="str">
        <f aca="false">IF(COUNT(F32:H32)=0,"",IF(COUNT(F32:H32)&lt;3,"incomplete",SUM(F32:H32)))</f>
        <v/>
      </c>
      <c r="J32" s="11" t="str">
        <f aca="false">IF(NOT(ISNUMBER(I32)),IF(I32="incomplete","fill all three","") ,IF(I32&gt;=27,"★ Elite",IF(I32&gt;=21,"Strong",IF(I32&gt;=15,"Fair","Weak"))))</f>
        <v/>
      </c>
      <c r="K32" s="12" t="n">
        <f aca="false">IF(ISNUMBER(I32),I32,0)</f>
        <v>0</v>
      </c>
      <c r="L32" s="12" t="str">
        <f aca="false">IF($C32="","",IF(COUNTIF($C$5:$C32,$C32)=1,MAX($L$5:L31)+1,""))</f>
        <v/>
      </c>
    </row>
    <row r="33" customFormat="false" ht="15" hidden="false" customHeight="false" outlineLevel="0" collapsed="false">
      <c r="B33" s="8" t="n">
        <v>29</v>
      </c>
      <c r="C33" s="9"/>
      <c r="D33" s="9"/>
      <c r="E33" s="9"/>
      <c r="F33" s="10"/>
      <c r="G33" s="10"/>
      <c r="H33" s="10"/>
      <c r="I33" s="11" t="str">
        <f aca="false">IF(COUNT(F33:H33)=0,"",IF(COUNT(F33:H33)&lt;3,"incomplete",SUM(F33:H33)))</f>
        <v/>
      </c>
      <c r="J33" s="11" t="str">
        <f aca="false">IF(NOT(ISNUMBER(I33)),IF(I33="incomplete","fill all three","") ,IF(I33&gt;=27,"★ Elite",IF(I33&gt;=21,"Strong",IF(I33&gt;=15,"Fair","Weak"))))</f>
        <v/>
      </c>
      <c r="K33" s="12" t="n">
        <f aca="false">IF(ISNUMBER(I33),I33,0)</f>
        <v>0</v>
      </c>
      <c r="L33" s="12" t="str">
        <f aca="false">IF($C33="","",IF(COUNTIF($C$5:$C33,$C33)=1,MAX($L$5:L32)+1,""))</f>
        <v/>
      </c>
    </row>
    <row r="34" customFormat="false" ht="15" hidden="false" customHeight="false" outlineLevel="0" collapsed="false">
      <c r="B34" s="8" t="n">
        <v>30</v>
      </c>
      <c r="C34" s="9"/>
      <c r="D34" s="9"/>
      <c r="E34" s="9"/>
      <c r="F34" s="10"/>
      <c r="G34" s="10"/>
      <c r="H34" s="10"/>
      <c r="I34" s="11" t="str">
        <f aca="false">IF(COUNT(F34:H34)=0,"",IF(COUNT(F34:H34)&lt;3,"incomplete",SUM(F34:H34)))</f>
        <v/>
      </c>
      <c r="J34" s="11" t="str">
        <f aca="false">IF(NOT(ISNUMBER(I34)),IF(I34="incomplete","fill all three","") ,IF(I34&gt;=27,"★ Elite",IF(I34&gt;=21,"Strong",IF(I34&gt;=15,"Fair","Weak"))))</f>
        <v/>
      </c>
      <c r="K34" s="12" t="n">
        <f aca="false">IF(ISNUMBER(I34),I34,0)</f>
        <v>0</v>
      </c>
      <c r="L34" s="12" t="str">
        <f aca="false">IF($C34="","",IF(COUNTIF($C$5:$C34,$C34)=1,MAX($L$5:L33)+1,""))</f>
        <v/>
      </c>
    </row>
    <row r="35" customFormat="false" ht="15" hidden="false" customHeight="false" outlineLevel="0" collapsed="false">
      <c r="B35" s="8" t="n">
        <v>31</v>
      </c>
      <c r="C35" s="9"/>
      <c r="D35" s="9"/>
      <c r="E35" s="9"/>
      <c r="F35" s="10"/>
      <c r="G35" s="10"/>
      <c r="H35" s="10"/>
      <c r="I35" s="11" t="str">
        <f aca="false">IF(COUNT(F35:H35)=0,"",IF(COUNT(F35:H35)&lt;3,"incomplete",SUM(F35:H35)))</f>
        <v/>
      </c>
      <c r="J35" s="11" t="str">
        <f aca="false">IF(NOT(ISNUMBER(I35)),IF(I35="incomplete","fill all three","") ,IF(I35&gt;=27,"★ Elite",IF(I35&gt;=21,"Strong",IF(I35&gt;=15,"Fair","Weak"))))</f>
        <v/>
      </c>
      <c r="K35" s="12" t="n">
        <f aca="false">IF(ISNUMBER(I35),I35,0)</f>
        <v>0</v>
      </c>
      <c r="L35" s="12" t="str">
        <f aca="false">IF($C35="","",IF(COUNTIF($C$5:$C35,$C35)=1,MAX($L$5:L34)+1,""))</f>
        <v/>
      </c>
    </row>
    <row r="36" customFormat="false" ht="15" hidden="false" customHeight="false" outlineLevel="0" collapsed="false">
      <c r="B36" s="8" t="n">
        <v>32</v>
      </c>
      <c r="C36" s="9"/>
      <c r="D36" s="9"/>
      <c r="E36" s="9"/>
      <c r="F36" s="10"/>
      <c r="G36" s="10"/>
      <c r="H36" s="10"/>
      <c r="I36" s="11" t="str">
        <f aca="false">IF(COUNT(F36:H36)=0,"",IF(COUNT(F36:H36)&lt;3,"incomplete",SUM(F36:H36)))</f>
        <v/>
      </c>
      <c r="J36" s="11" t="str">
        <f aca="false">IF(NOT(ISNUMBER(I36)),IF(I36="incomplete","fill all three","") ,IF(I36&gt;=27,"★ Elite",IF(I36&gt;=21,"Strong",IF(I36&gt;=15,"Fair","Weak"))))</f>
        <v/>
      </c>
      <c r="K36" s="12" t="n">
        <f aca="false">IF(ISNUMBER(I36),I36,0)</f>
        <v>0</v>
      </c>
      <c r="L36" s="12" t="str">
        <f aca="false">IF($C36="","",IF(COUNTIF($C$5:$C36,$C36)=1,MAX($L$5:L35)+1,""))</f>
        <v/>
      </c>
    </row>
    <row r="37" customFormat="false" ht="15" hidden="false" customHeight="false" outlineLevel="0" collapsed="false">
      <c r="B37" s="8" t="n">
        <v>33</v>
      </c>
      <c r="C37" s="9"/>
      <c r="D37" s="9"/>
      <c r="E37" s="9"/>
      <c r="F37" s="10"/>
      <c r="G37" s="10"/>
      <c r="H37" s="10"/>
      <c r="I37" s="11" t="str">
        <f aca="false">IF(COUNT(F37:H37)=0,"",IF(COUNT(F37:H37)&lt;3,"incomplete",SUM(F37:H37)))</f>
        <v/>
      </c>
      <c r="J37" s="11" t="str">
        <f aca="false">IF(NOT(ISNUMBER(I37)),IF(I37="incomplete","fill all three","") ,IF(I37&gt;=27,"★ Elite",IF(I37&gt;=21,"Strong",IF(I37&gt;=15,"Fair","Weak"))))</f>
        <v/>
      </c>
      <c r="K37" s="12" t="n">
        <f aca="false">IF(ISNUMBER(I37),I37,0)</f>
        <v>0</v>
      </c>
      <c r="L37" s="12" t="str">
        <f aca="false">IF($C37="","",IF(COUNTIF($C$5:$C37,$C37)=1,MAX($L$5:L36)+1,""))</f>
        <v/>
      </c>
    </row>
    <row r="38" customFormat="false" ht="15" hidden="false" customHeight="false" outlineLevel="0" collapsed="false">
      <c r="B38" s="8" t="n">
        <v>34</v>
      </c>
      <c r="C38" s="9"/>
      <c r="D38" s="9"/>
      <c r="E38" s="9"/>
      <c r="F38" s="10"/>
      <c r="G38" s="10"/>
      <c r="H38" s="10"/>
      <c r="I38" s="11" t="str">
        <f aca="false">IF(COUNT(F38:H38)=0,"",IF(COUNT(F38:H38)&lt;3,"incomplete",SUM(F38:H38)))</f>
        <v/>
      </c>
      <c r="J38" s="11" t="str">
        <f aca="false">IF(NOT(ISNUMBER(I38)),IF(I38="incomplete","fill all three","") ,IF(I38&gt;=27,"★ Elite",IF(I38&gt;=21,"Strong",IF(I38&gt;=15,"Fair","Weak"))))</f>
        <v/>
      </c>
      <c r="K38" s="12" t="n">
        <f aca="false">IF(ISNUMBER(I38),I38,0)</f>
        <v>0</v>
      </c>
      <c r="L38" s="12" t="str">
        <f aca="false">IF($C38="","",IF(COUNTIF($C$5:$C38,$C38)=1,MAX($L$5:L37)+1,""))</f>
        <v/>
      </c>
    </row>
    <row r="39" customFormat="false" ht="15" hidden="false" customHeight="false" outlineLevel="0" collapsed="false">
      <c r="B39" s="8" t="n">
        <v>35</v>
      </c>
      <c r="C39" s="9"/>
      <c r="D39" s="9"/>
      <c r="E39" s="9"/>
      <c r="F39" s="10"/>
      <c r="G39" s="10"/>
      <c r="H39" s="10"/>
      <c r="I39" s="11" t="str">
        <f aca="false">IF(COUNT(F39:H39)=0,"",IF(COUNT(F39:H39)&lt;3,"incomplete",SUM(F39:H39)))</f>
        <v/>
      </c>
      <c r="J39" s="11" t="str">
        <f aca="false">IF(NOT(ISNUMBER(I39)),IF(I39="incomplete","fill all three","") ,IF(I39&gt;=27,"★ Elite",IF(I39&gt;=21,"Strong",IF(I39&gt;=15,"Fair","Weak"))))</f>
        <v/>
      </c>
      <c r="K39" s="12" t="n">
        <f aca="false">IF(ISNUMBER(I39),I39,0)</f>
        <v>0</v>
      </c>
      <c r="L39" s="12" t="str">
        <f aca="false">IF($C39="","",IF(COUNTIF($C$5:$C39,$C39)=1,MAX($L$5:L38)+1,""))</f>
        <v/>
      </c>
    </row>
    <row r="40" customFormat="false" ht="15" hidden="false" customHeight="false" outlineLevel="0" collapsed="false">
      <c r="B40" s="8" t="n">
        <v>36</v>
      </c>
      <c r="C40" s="9"/>
      <c r="D40" s="9"/>
      <c r="E40" s="9"/>
      <c r="F40" s="10"/>
      <c r="G40" s="10"/>
      <c r="H40" s="10"/>
      <c r="I40" s="11" t="str">
        <f aca="false">IF(COUNT(F40:H40)=0,"",IF(COUNT(F40:H40)&lt;3,"incomplete",SUM(F40:H40)))</f>
        <v/>
      </c>
      <c r="J40" s="11" t="str">
        <f aca="false">IF(NOT(ISNUMBER(I40)),IF(I40="incomplete","fill all three","") ,IF(I40&gt;=27,"★ Elite",IF(I40&gt;=21,"Strong",IF(I40&gt;=15,"Fair","Weak"))))</f>
        <v/>
      </c>
      <c r="K40" s="12" t="n">
        <f aca="false">IF(ISNUMBER(I40),I40,0)</f>
        <v>0</v>
      </c>
      <c r="L40" s="12" t="str">
        <f aca="false">IF($C40="","",IF(COUNTIF($C$5:$C40,$C40)=1,MAX($L$5:L39)+1,""))</f>
        <v/>
      </c>
    </row>
    <row r="41" customFormat="false" ht="15" hidden="false" customHeight="false" outlineLevel="0" collapsed="false">
      <c r="B41" s="8" t="n">
        <v>37</v>
      </c>
      <c r="C41" s="9"/>
      <c r="D41" s="9"/>
      <c r="E41" s="9"/>
      <c r="F41" s="10"/>
      <c r="G41" s="10"/>
      <c r="H41" s="10"/>
      <c r="I41" s="11" t="str">
        <f aca="false">IF(COUNT(F41:H41)=0,"",IF(COUNT(F41:H41)&lt;3,"incomplete",SUM(F41:H41)))</f>
        <v/>
      </c>
      <c r="J41" s="11" t="str">
        <f aca="false">IF(NOT(ISNUMBER(I41)),IF(I41="incomplete","fill all three","") ,IF(I41&gt;=27,"★ Elite",IF(I41&gt;=21,"Strong",IF(I41&gt;=15,"Fair","Weak"))))</f>
        <v/>
      </c>
      <c r="K41" s="12" t="n">
        <f aca="false">IF(ISNUMBER(I41),I41,0)</f>
        <v>0</v>
      </c>
      <c r="L41" s="12" t="str">
        <f aca="false">IF($C41="","",IF(COUNTIF($C$5:$C41,$C41)=1,MAX($L$5:L40)+1,""))</f>
        <v/>
      </c>
    </row>
    <row r="42" customFormat="false" ht="15" hidden="false" customHeight="false" outlineLevel="0" collapsed="false">
      <c r="B42" s="8" t="n">
        <v>38</v>
      </c>
      <c r="C42" s="9"/>
      <c r="D42" s="9"/>
      <c r="E42" s="9"/>
      <c r="F42" s="10"/>
      <c r="G42" s="10"/>
      <c r="H42" s="10"/>
      <c r="I42" s="11" t="str">
        <f aca="false">IF(COUNT(F42:H42)=0,"",IF(COUNT(F42:H42)&lt;3,"incomplete",SUM(F42:H42)))</f>
        <v/>
      </c>
      <c r="J42" s="11" t="str">
        <f aca="false">IF(NOT(ISNUMBER(I42)),IF(I42="incomplete","fill all three","") ,IF(I42&gt;=27,"★ Elite",IF(I42&gt;=21,"Strong",IF(I42&gt;=15,"Fair","Weak"))))</f>
        <v/>
      </c>
      <c r="K42" s="12" t="n">
        <f aca="false">IF(ISNUMBER(I42),I42,0)</f>
        <v>0</v>
      </c>
      <c r="L42" s="12" t="str">
        <f aca="false">IF($C42="","",IF(COUNTIF($C$5:$C42,$C42)=1,MAX($L$5:L41)+1,""))</f>
        <v/>
      </c>
    </row>
    <row r="43" customFormat="false" ht="15" hidden="false" customHeight="false" outlineLevel="0" collapsed="false">
      <c r="B43" s="8" t="n">
        <v>39</v>
      </c>
      <c r="C43" s="9"/>
      <c r="D43" s="9"/>
      <c r="E43" s="9"/>
      <c r="F43" s="10"/>
      <c r="G43" s="10"/>
      <c r="H43" s="10"/>
      <c r="I43" s="11" t="str">
        <f aca="false">IF(COUNT(F43:H43)=0,"",IF(COUNT(F43:H43)&lt;3,"incomplete",SUM(F43:H43)))</f>
        <v/>
      </c>
      <c r="J43" s="11" t="str">
        <f aca="false">IF(NOT(ISNUMBER(I43)),IF(I43="incomplete","fill all three","") ,IF(I43&gt;=27,"★ Elite",IF(I43&gt;=21,"Strong",IF(I43&gt;=15,"Fair","Weak"))))</f>
        <v/>
      </c>
      <c r="K43" s="12" t="n">
        <f aca="false">IF(ISNUMBER(I43),I43,0)</f>
        <v>0</v>
      </c>
      <c r="L43" s="12" t="str">
        <f aca="false">IF($C43="","",IF(COUNTIF($C$5:$C43,$C43)=1,MAX($L$5:L42)+1,""))</f>
        <v/>
      </c>
    </row>
    <row r="44" customFormat="false" ht="15" hidden="false" customHeight="false" outlineLevel="0" collapsed="false">
      <c r="B44" s="8" t="n">
        <v>40</v>
      </c>
      <c r="C44" s="9"/>
      <c r="D44" s="9"/>
      <c r="E44" s="9"/>
      <c r="F44" s="10"/>
      <c r="G44" s="10"/>
      <c r="H44" s="10"/>
      <c r="I44" s="11" t="str">
        <f aca="false">IF(COUNT(F44:H44)=0,"",IF(COUNT(F44:H44)&lt;3,"incomplete",SUM(F44:H44)))</f>
        <v/>
      </c>
      <c r="J44" s="11" t="str">
        <f aca="false">IF(NOT(ISNUMBER(I44)),IF(I44="incomplete","fill all three","") ,IF(I44&gt;=27,"★ Elite",IF(I44&gt;=21,"Strong",IF(I44&gt;=15,"Fair","Weak"))))</f>
        <v/>
      </c>
      <c r="K44" s="12" t="n">
        <f aca="false">IF(ISNUMBER(I44),I44,0)</f>
        <v>0</v>
      </c>
      <c r="L44" s="12" t="str">
        <f aca="false">IF($C44="","",IF(COUNTIF($C$5:$C44,$C44)=1,MAX($L$5:L43)+1,""))</f>
        <v/>
      </c>
    </row>
  </sheetData>
  <conditionalFormatting sqref="I5:I44">
    <cfRule type="colorScale" priority="2">
      <colorScale>
        <cfvo type="num" val="0"/>
        <cfvo type="num" val="15"/>
        <cfvo type="num" val="30"/>
        <color rgb="FFF8696B"/>
        <color rgb="FFFFEB84"/>
        <color rgb="FF63BE7B"/>
      </colorScale>
    </cfRule>
  </conditionalFormatting>
  <conditionalFormatting sqref="C5:C44">
    <cfRule type="cellIs" priority="3" operator="equal" aboveAverage="0" equalAverage="0" bottom="0" percent="0" rank="0" text="" dxfId="0">
      <formula>"NeoBerlin"</formula>
    </cfRule>
  </conditionalFormatting>
  <dataValidations count="2">
    <dataValidation allowBlank="true" error="Enter a whole number 0–10." errorStyle="stop" errorTitle="Invalid score" operator="between" showDropDown="false" showErrorMessage="true" showInputMessage="false" sqref="F5:H44" type="whole">
      <formula1>0</formula1>
      <formula2>10</formula2>
    </dataValidation>
    <dataValidation allowBlank="true" error="Pick an event from the list. A typed-in variant looks fine but matches nothing, so the Leaderboard silently drops that submission." errorStyle="stop" errorTitle="Unknown event" operator="between" showDropDown="false" showErrorMessage="true" showInputMessage="false" sqref="E5:E44" type="list">
      <formula1>$M$5:$M$11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O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min="15" max="15" width="9" customWidth="1" hidden="1"/>
    <col min="14" max="14" width="9" customWidth="1" hidden="1"/>
    <col collapsed="false" customWidth="true" hidden="false" outlineLevel="0" max="2" min="2" style="0" width="6"/>
    <col collapsed="false" customWidth="true" hidden="false" outlineLevel="0" max="4" min="3" style="0" width="20"/>
    <col collapsed="false" customWidth="true" hidden="false" outlineLevel="0" max="11" min="5" style="0" width="10"/>
    <col collapsed="false" customWidth="true" hidden="false" outlineLevel="0" max="12" min="12" style="0" width="14"/>
    <col collapsed="false" customWidth="true" hidden="false" outlineLevel="0" max="13" min="13" style="0" width="8"/>
    <col collapsed="false" customWidth="true" hidden="true" outlineLevel="0" max="15" min="14" style="0" width="13"/>
  </cols>
  <sheetData>
    <row r="2" customFormat="false" ht="22.05" hidden="false" customHeight="false" outlineLevel="0" collapsed="false">
      <c r="B2" s="1" t="s">
        <v>40</v>
      </c>
    </row>
    <row r="4" customFormat="false" ht="15" hidden="false" customHeight="false" outlineLevel="0" collapsed="false">
      <c r="B4" s="6" t="s">
        <v>41</v>
      </c>
      <c r="C4" s="6" t="s">
        <v>17</v>
      </c>
      <c r="D4" s="6" t="s">
        <v>18</v>
      </c>
      <c r="E4" s="6" t="s">
        <v>42</v>
      </c>
      <c r="F4" s="6" t="s">
        <v>43</v>
      </c>
      <c r="G4" s="6" t="s">
        <v>44</v>
      </c>
      <c r="H4" s="6" t="s">
        <v>45</v>
      </c>
      <c r="I4" s="6" t="s">
        <v>46</v>
      </c>
      <c r="J4" s="6" t="s">
        <v>47</v>
      </c>
      <c r="K4" s="6" t="s">
        <v>48</v>
      </c>
      <c r="L4" s="6" t="s">
        <v>49</v>
      </c>
      <c r="M4" s="6" t="s">
        <v>50</v>
      </c>
      <c r="N4" s="7" t="s">
        <v>51</v>
      </c>
      <c r="O4" s="7" t="s">
        <v>52</v>
      </c>
    </row>
    <row r="5" customFormat="false" ht="15" hidden="false" customHeight="false" outlineLevel="0" collapsed="false">
      <c r="B5" s="13" t="n">
        <f aca="false">IF($C5="","",RANK(L5,$L$5:$L$16))</f>
        <v>1</v>
      </c>
      <c r="C5" s="14" t="str">
        <f aca="false">IFERROR(INDEX(Submissions!$C$5:$C$44,MATCH(1,Submissions!$L$5:$L$44,0)),"")</f>
        <v>NeoBerlin</v>
      </c>
      <c r="D5" s="15" t="str">
        <f aca="false">IF($C5="","",IFERROR(IF(INDEX(Submissions!$D:$D,MATCH($C5,Submissions!$C:$C,0))=0,"(no steward)",INDEX(Submissions!$D:$D,MATCH($C5,Submissions!$C:$C,0))),""))</f>
        <v>Rob (human steward)</v>
      </c>
      <c r="E5" s="16" t="n">
        <f aca="false">IF($C5="","",SUMPRODUCT(MAX((Submissions!$C$5:$C$44=$C5)*(Submissions!$E$5:$E$44="Special Skills using X")*Submissions!$K$5:$K$44)))</f>
        <v>28</v>
      </c>
      <c r="F5" s="16" t="n">
        <f aca="false">IF($C5="","",SUMPRODUCT(MAX((Submissions!$C$5:$C$44=$C5)*(Submissions!$E$5:$E$44="More Minds are better than one Mind: Research Quest")*Submissions!$K$5:$K$44)))</f>
        <v>28</v>
      </c>
      <c r="G5" s="16" t="n">
        <f aca="false">IF($C5="","",SUMPRODUCT(MAX((Submissions!$C$5:$C$44=$C5)*(Submissions!$E$5:$E$44="Cross Word Puzzle")*Submissions!$K$5:$K$44)))</f>
        <v>27</v>
      </c>
      <c r="H5" s="16" t="n">
        <f aca="false">IF($C5="","",SUMPRODUCT(MAX((Submissions!$C$5:$C$44=$C5)*(Submissions!$E$5:$E$44="Calm before the Storm")*Submissions!$K$5:$K$44)))</f>
        <v>26</v>
      </c>
      <c r="I5" s="16" t="n">
        <f aca="false">IF($C5="","",SUMPRODUCT(MAX((Submissions!$C$5:$C$44=$C5)*(Submissions!$E$5:$E$44="AstroMesh: Minds &amp; MCP Mashup Challenge")*Submissions!$K$5:$K$44)))</f>
        <v>26</v>
      </c>
      <c r="J5" s="16" t="n">
        <f aca="false">IF($C5="","",SUMPRODUCT(MAX((Submissions!$C$5:$C$44=$C5)*(Submissions!$E$5:$E$44="Minds Building Chatbots Challenge")*Submissions!$K$5:$K$44)))</f>
        <v>26</v>
      </c>
      <c r="K5" s="16" t="n">
        <f aca="false">IF($C5="","",SUMPRODUCT(MAX((Submissions!$C$5:$C$44=$C5)*(Submissions!$E$5:$E$44="Mindsheets Masterpiece and Debugging")*Submissions!$K$5:$K$44)))</f>
        <v>25</v>
      </c>
      <c r="L5" s="17" t="n">
        <f aca="false">IF($C5="","",SUM(E5:K5))</f>
        <v>186</v>
      </c>
      <c r="M5" s="15" t="str">
        <f aca="false">IF($C5="","",IF($N5=1,"🥇",IF($N5=2,"🥈",IF($N5=3,"🥉",""))))</f>
        <v>🥇</v>
      </c>
      <c r="N5" s="12" t="n">
        <f aca="false">IF($C5="","",1+SUMPRODUCT(($C$5:$C$16&lt;&gt;"")*($L$5:$L$16&gt;$L5)*(MATCH($L$5:$L$16&amp;"",$L$5:$L$16&amp;"",0)=ROW($L$5:$L$16)-4)))</f>
        <v>1</v>
      </c>
      <c r="O5" s="12" t="n">
        <f aca="false">IF($D5="","",IF(COUNTIF($D$5:$D5,$D5)=1,1,""))</f>
        <v>1</v>
      </c>
    </row>
    <row r="6" customFormat="false" ht="15" hidden="false" customHeight="false" outlineLevel="0" collapsed="false">
      <c r="B6" s="13" t="n">
        <f aca="false">IF($C6="","",RANK(L6,$L$5:$L$16))</f>
        <v>2</v>
      </c>
      <c r="C6" s="14" t="str">
        <f aca="false">IFERROR(INDEX(Submissions!$C$5:$C$44,MATCH(2,Submissions!$L$5:$L$44,0)),"")</f>
        <v>Demo-Alpha</v>
      </c>
      <c r="D6" s="15" t="str">
        <f aca="false">IF($C6="","",IFERROR(IF(INDEX(Submissions!$D:$D,MATCH($C6,Submissions!$C:$C,0))=0,"(no steward)",INDEX(Submissions!$D:$D,MATCH($C6,Submissions!$C:$C,0))),""))</f>
        <v>(fictional)</v>
      </c>
      <c r="E6" s="16" t="n">
        <f aca="false">IF($C6="","",SUMPRODUCT(MAX((Submissions!$C$5:$C$44=$C6)*(Submissions!$E$5:$E$44="Special Skills using X")*Submissions!$K$5:$K$44)))</f>
        <v>25</v>
      </c>
      <c r="F6" s="16" t="n">
        <f aca="false">IF($C6="","",SUMPRODUCT(MAX((Submissions!$C$5:$C$44=$C6)*(Submissions!$E$5:$E$44="More Minds are better than one Mind: Research Quest")*Submissions!$K$5:$K$44)))</f>
        <v>25</v>
      </c>
      <c r="G6" s="16" t="n">
        <f aca="false">IF($C6="","",SUMPRODUCT(MAX((Submissions!$C$5:$C$44=$C6)*(Submissions!$E$5:$E$44="Cross Word Puzzle")*Submissions!$K$5:$K$44)))</f>
        <v>24</v>
      </c>
      <c r="H6" s="16" t="n">
        <f aca="false">IF($C6="","",SUMPRODUCT(MAX((Submissions!$C$5:$C$44=$C6)*(Submissions!$E$5:$E$44="Calm before the Storm")*Submissions!$K$5:$K$44)))</f>
        <v>0</v>
      </c>
      <c r="I6" s="16" t="n">
        <f aca="false">IF($C6="","",SUMPRODUCT(MAX((Submissions!$C$5:$C$44=$C6)*(Submissions!$E$5:$E$44="AstroMesh: Minds &amp; MCP Mashup Challenge")*Submissions!$K$5:$K$44)))</f>
        <v>0</v>
      </c>
      <c r="J6" s="16" t="n">
        <f aca="false">IF($C6="","",SUMPRODUCT(MAX((Submissions!$C$5:$C$44=$C6)*(Submissions!$E$5:$E$44="Minds Building Chatbots Challenge")*Submissions!$K$5:$K$44)))</f>
        <v>0</v>
      </c>
      <c r="K6" s="16" t="n">
        <f aca="false">IF($C6="","",SUMPRODUCT(MAX((Submissions!$C$5:$C$44=$C6)*(Submissions!$E$5:$E$44="Mindsheets Masterpiece and Debugging")*Submissions!$K$5:$K$44)))</f>
        <v>0</v>
      </c>
      <c r="L6" s="17" t="n">
        <f aca="false">IF($C6="","",SUM(E6:K6))</f>
        <v>74</v>
      </c>
      <c r="M6" s="15" t="str">
        <f aca="false">IF($C6="","",IF($N6=1,"🥇",IF($N6=2,"🥈",IF($N6=3,"🥉",""))))</f>
        <v>🥈</v>
      </c>
      <c r="N6" s="12" t="n">
        <f aca="false">IF($C6="","",1+SUMPRODUCT(($C$5:$C$16&lt;&gt;"")*($L$5:$L$16&gt;$L6)*(MATCH($L$5:$L$16&amp;"",$L$5:$L$16&amp;"",0)=ROW($L$5:$L$16)-4)))</f>
        <v>2</v>
      </c>
      <c r="O6" s="12" t="n">
        <f aca="false">IF($D6="","",IF(COUNTIF($D$5:$D6,$D6)=1,MAX($O$5:O5)+1,""))</f>
        <v>2</v>
      </c>
    </row>
    <row r="7" customFormat="false" ht="15" hidden="false" customHeight="false" outlineLevel="0" collapsed="false">
      <c r="B7" s="13" t="n">
        <f aca="false">IF($C7="","",RANK(L7,$L$5:$L$16))</f>
        <v>3</v>
      </c>
      <c r="C7" s="14" t="str">
        <f aca="false">IFERROR(INDEX(Submissions!$C$5:$C$44,MATCH(3,Submissions!$L$5:$L$44,0)),"")</f>
        <v>Demo-Beta</v>
      </c>
      <c r="D7" s="15" t="str">
        <f aca="false">IF($C7="","",IFERROR(IF(INDEX(Submissions!$D:$D,MATCH($C7,Submissions!$C:$C,0))=0,"(no steward)",INDEX(Submissions!$D:$D,MATCH($C7,Submissions!$C:$C,0))),""))</f>
        <v>(fictional)</v>
      </c>
      <c r="E7" s="16" t="n">
        <f aca="false">IF($C7="","",SUMPRODUCT(MAX((Submissions!$C$5:$C$44=$C7)*(Submissions!$E$5:$E$44="Special Skills using X")*Submissions!$K$5:$K$44)))</f>
        <v>20</v>
      </c>
      <c r="F7" s="16" t="n">
        <f aca="false">IF($C7="","",SUMPRODUCT(MAX((Submissions!$C$5:$C$44=$C7)*(Submissions!$E$5:$E$44="More Minds are better than one Mind: Research Quest")*Submissions!$K$5:$K$44)))</f>
        <v>0</v>
      </c>
      <c r="G7" s="16" t="n">
        <f aca="false">IF($C7="","",SUMPRODUCT(MAX((Submissions!$C$5:$C$44=$C7)*(Submissions!$E$5:$E$44="Cross Word Puzzle")*Submissions!$K$5:$K$44)))</f>
        <v>0</v>
      </c>
      <c r="H7" s="16" t="n">
        <f aca="false">IF($C7="","",SUMPRODUCT(MAX((Submissions!$C$5:$C$44=$C7)*(Submissions!$E$5:$E$44="Calm before the Storm")*Submissions!$K$5:$K$44)))</f>
        <v>23</v>
      </c>
      <c r="I7" s="16" t="n">
        <f aca="false">IF($C7="","",SUMPRODUCT(MAX((Submissions!$C$5:$C$44=$C7)*(Submissions!$E$5:$E$44="AstroMesh: Minds &amp; MCP Mashup Challenge")*Submissions!$K$5:$K$44)))</f>
        <v>22</v>
      </c>
      <c r="J7" s="16" t="n">
        <f aca="false">IF($C7="","",SUMPRODUCT(MAX((Submissions!$C$5:$C$44=$C7)*(Submissions!$E$5:$E$44="Minds Building Chatbots Challenge")*Submissions!$K$5:$K$44)))</f>
        <v>0</v>
      </c>
      <c r="K7" s="16" t="n">
        <f aca="false">IF($C7="","",SUMPRODUCT(MAX((Submissions!$C$5:$C$44=$C7)*(Submissions!$E$5:$E$44="Mindsheets Masterpiece and Debugging")*Submissions!$K$5:$K$44)))</f>
        <v>0</v>
      </c>
      <c r="L7" s="17" t="n">
        <f aca="false">IF($C7="","",SUM(E7:K7))</f>
        <v>65</v>
      </c>
      <c r="M7" s="15" t="str">
        <f aca="false">IF($C7="","",IF($N7=1,"🥇",IF($N7=2,"🥈",IF($N7=3,"🥉",""))))</f>
        <v>🥉</v>
      </c>
      <c r="N7" s="12" t="n">
        <f aca="false">IF($C7="","",1+SUMPRODUCT(($C$5:$C$16&lt;&gt;"")*($L$5:$L$16&gt;$L7)*(MATCH($L$5:$L$16&amp;"",$L$5:$L$16&amp;"",0)=ROW($L$5:$L$16)-4)))</f>
        <v>3</v>
      </c>
      <c r="O7" s="12" t="str">
        <f aca="false">IF($D7="","",IF(COUNTIF($D$5:$D7,$D7)=1,MAX($O$5:O6)+1,""))</f>
        <v/>
      </c>
    </row>
    <row r="8" customFormat="false" ht="15" hidden="false" customHeight="false" outlineLevel="0" collapsed="false">
      <c r="B8" s="13" t="str">
        <f aca="false">IF($C8="","",RANK(L8,$L$5:$L$16))</f>
        <v/>
      </c>
      <c r="C8" s="14" t="str">
        <f aca="false">IFERROR(INDEX(Submissions!$C$5:$C$44,MATCH(4,Submissions!$L$5:$L$44,0)),"")</f>
        <v/>
      </c>
      <c r="D8" s="15" t="str">
        <f aca="false">IF($C8="","",IFERROR(IF(INDEX(Submissions!$D:$D,MATCH($C8,Submissions!$C:$C,0))=0,"(no steward)",INDEX(Submissions!$D:$D,MATCH($C8,Submissions!$C:$C,0))),""))</f>
        <v/>
      </c>
      <c r="E8" s="16" t="str">
        <f aca="false">IF($C8="","",SUMPRODUCT(MAX((Submissions!$C$5:$C$44=$C8)*(Submissions!$E$5:$E$44="Special Skills using X")*Submissions!$K$5:$K$44)))</f>
        <v/>
      </c>
      <c r="F8" s="16" t="str">
        <f aca="false">IF($C8="","",SUMPRODUCT(MAX((Submissions!$C$5:$C$44=$C8)*(Submissions!$E$5:$E$44="More Minds are better than one Mind: Research Quest")*Submissions!$K$5:$K$44)))</f>
        <v/>
      </c>
      <c r="G8" s="16" t="str">
        <f aca="false">IF($C8="","",SUMPRODUCT(MAX((Submissions!$C$5:$C$44=$C8)*(Submissions!$E$5:$E$44="Cross Word Puzzle")*Submissions!$K$5:$K$44)))</f>
        <v/>
      </c>
      <c r="H8" s="16" t="str">
        <f aca="false">IF($C8="","",SUMPRODUCT(MAX((Submissions!$C$5:$C$44=$C8)*(Submissions!$E$5:$E$44="Calm before the Storm")*Submissions!$K$5:$K$44)))</f>
        <v/>
      </c>
      <c r="I8" s="16" t="str">
        <f aca="false">IF($C8="","",SUMPRODUCT(MAX((Submissions!$C$5:$C$44=$C8)*(Submissions!$E$5:$E$44="AstroMesh: Minds &amp; MCP Mashup Challenge")*Submissions!$K$5:$K$44)))</f>
        <v/>
      </c>
      <c r="J8" s="16" t="str">
        <f aca="false">IF($C8="","",SUMPRODUCT(MAX((Submissions!$C$5:$C$44=$C8)*(Submissions!$E$5:$E$44="Minds Building Chatbots Challenge")*Submissions!$K$5:$K$44)))</f>
        <v/>
      </c>
      <c r="K8" s="16" t="str">
        <f aca="false">IF($C8="","",SUMPRODUCT(MAX((Submissions!$C$5:$C$44=$C8)*(Submissions!$E$5:$E$44="Mindsheets Masterpiece and Debugging")*Submissions!$K$5:$K$44)))</f>
        <v/>
      </c>
      <c r="L8" s="17" t="str">
        <f aca="false">IF($C8="","",SUM(E8:K8))</f>
        <v/>
      </c>
      <c r="M8" s="15" t="str">
        <f aca="false">IF($C8="","",IF($N8=1,"🥇",IF($N8=2,"🥈",IF($N8=3,"🥉",""))))</f>
        <v/>
      </c>
      <c r="N8" s="12" t="str">
        <f aca="false">IF($C8="","",1+SUMPRODUCT(($C$5:$C$16&lt;&gt;"")*($L$5:$L$16&gt;$L8)*(MATCH($L$5:$L$16&amp;"",$L$5:$L$16&amp;"",0)=ROW($L$5:$L$16)-4)))</f>
        <v/>
      </c>
      <c r="O8" s="12" t="str">
        <f aca="false">IF($D8="","",IF(COUNTIF($D$5:$D8,$D8)=1,MAX($O$5:O7)+1,""))</f>
        <v/>
      </c>
    </row>
    <row r="9" customFormat="false" ht="15" hidden="false" customHeight="false" outlineLevel="0" collapsed="false">
      <c r="B9" s="13" t="str">
        <f aca="false">IF($C9="","",RANK(L9,$L$5:$L$16))</f>
        <v/>
      </c>
      <c r="C9" s="14" t="str">
        <f aca="false">IFERROR(INDEX(Submissions!$C$5:$C$44,MATCH(5,Submissions!$L$5:$L$44,0)),"")</f>
        <v/>
      </c>
      <c r="D9" s="15" t="str">
        <f aca="false">IF($C9="","",IFERROR(IF(INDEX(Submissions!$D:$D,MATCH($C9,Submissions!$C:$C,0))=0,"(no steward)",INDEX(Submissions!$D:$D,MATCH($C9,Submissions!$C:$C,0))),""))</f>
        <v/>
      </c>
      <c r="E9" s="16" t="str">
        <f aca="false">IF($C9="","",SUMPRODUCT(MAX((Submissions!$C$5:$C$44=$C9)*(Submissions!$E$5:$E$44="Special Skills using X")*Submissions!$K$5:$K$44)))</f>
        <v/>
      </c>
      <c r="F9" s="16" t="str">
        <f aca="false">IF($C9="","",SUMPRODUCT(MAX((Submissions!$C$5:$C$44=$C9)*(Submissions!$E$5:$E$44="More Minds are better than one Mind: Research Quest")*Submissions!$K$5:$K$44)))</f>
        <v/>
      </c>
      <c r="G9" s="16" t="str">
        <f aca="false">IF($C9="","",SUMPRODUCT(MAX((Submissions!$C$5:$C$44=$C9)*(Submissions!$E$5:$E$44="Cross Word Puzzle")*Submissions!$K$5:$K$44)))</f>
        <v/>
      </c>
      <c r="H9" s="16" t="str">
        <f aca="false">IF($C9="","",SUMPRODUCT(MAX((Submissions!$C$5:$C$44=$C9)*(Submissions!$E$5:$E$44="Calm before the Storm")*Submissions!$K$5:$K$44)))</f>
        <v/>
      </c>
      <c r="I9" s="16" t="str">
        <f aca="false">IF($C9="","",SUMPRODUCT(MAX((Submissions!$C$5:$C$44=$C9)*(Submissions!$E$5:$E$44="AstroMesh: Minds &amp; MCP Mashup Challenge")*Submissions!$K$5:$K$44)))</f>
        <v/>
      </c>
      <c r="J9" s="16" t="str">
        <f aca="false">IF($C9="","",SUMPRODUCT(MAX((Submissions!$C$5:$C$44=$C9)*(Submissions!$E$5:$E$44="Minds Building Chatbots Challenge")*Submissions!$K$5:$K$44)))</f>
        <v/>
      </c>
      <c r="K9" s="16" t="str">
        <f aca="false">IF($C9="","",SUMPRODUCT(MAX((Submissions!$C$5:$C$44=$C9)*(Submissions!$E$5:$E$44="Mindsheets Masterpiece and Debugging")*Submissions!$K$5:$K$44)))</f>
        <v/>
      </c>
      <c r="L9" s="17" t="str">
        <f aca="false">IF($C9="","",SUM(E9:K9))</f>
        <v/>
      </c>
      <c r="M9" s="15" t="str">
        <f aca="false">IF($C9="","",IF($N9=1,"🥇",IF($N9=2,"🥈",IF($N9=3,"🥉",""))))</f>
        <v/>
      </c>
      <c r="N9" s="12" t="str">
        <f aca="false">IF($C9="","",1+SUMPRODUCT(($C$5:$C$16&lt;&gt;"")*($L$5:$L$16&gt;$L9)*(MATCH($L$5:$L$16&amp;"",$L$5:$L$16&amp;"",0)=ROW($L$5:$L$16)-4)))</f>
        <v/>
      </c>
      <c r="O9" s="12" t="str">
        <f aca="false">IF($D9="","",IF(COUNTIF($D$5:$D9,$D9)=1,MAX($O$5:O8)+1,""))</f>
        <v/>
      </c>
    </row>
    <row r="10" customFormat="false" ht="15" hidden="false" customHeight="false" outlineLevel="0" collapsed="false">
      <c r="B10" s="13" t="str">
        <f aca="false">IF($C10="","",RANK(L10,$L$5:$L$16))</f>
        <v/>
      </c>
      <c r="C10" s="14" t="str">
        <f aca="false">IFERROR(INDEX(Submissions!$C$5:$C$44,MATCH(6,Submissions!$L$5:$L$44,0)),"")</f>
        <v/>
      </c>
      <c r="D10" s="15" t="str">
        <f aca="false">IF($C10="","",IFERROR(IF(INDEX(Submissions!$D:$D,MATCH($C10,Submissions!$C:$C,0))=0,"(no steward)",INDEX(Submissions!$D:$D,MATCH($C10,Submissions!$C:$C,0))),""))</f>
        <v/>
      </c>
      <c r="E10" s="16" t="str">
        <f aca="false">IF($C10="","",SUMPRODUCT(MAX((Submissions!$C$5:$C$44=$C10)*(Submissions!$E$5:$E$44="Special Skills using X")*Submissions!$K$5:$K$44)))</f>
        <v/>
      </c>
      <c r="F10" s="16" t="str">
        <f aca="false">IF($C10="","",SUMPRODUCT(MAX((Submissions!$C$5:$C$44=$C10)*(Submissions!$E$5:$E$44="More Minds are better than one Mind: Research Quest")*Submissions!$K$5:$K$44)))</f>
        <v/>
      </c>
      <c r="G10" s="16" t="str">
        <f aca="false">IF($C10="","",SUMPRODUCT(MAX((Submissions!$C$5:$C$44=$C10)*(Submissions!$E$5:$E$44="Cross Word Puzzle")*Submissions!$K$5:$K$44)))</f>
        <v/>
      </c>
      <c r="H10" s="16" t="str">
        <f aca="false">IF($C10="","",SUMPRODUCT(MAX((Submissions!$C$5:$C$44=$C10)*(Submissions!$E$5:$E$44="Calm before the Storm")*Submissions!$K$5:$K$44)))</f>
        <v/>
      </c>
      <c r="I10" s="16" t="str">
        <f aca="false">IF($C10="","",SUMPRODUCT(MAX((Submissions!$C$5:$C$44=$C10)*(Submissions!$E$5:$E$44="AstroMesh: Minds &amp; MCP Mashup Challenge")*Submissions!$K$5:$K$44)))</f>
        <v/>
      </c>
      <c r="J10" s="16" t="str">
        <f aca="false">IF($C10="","",SUMPRODUCT(MAX((Submissions!$C$5:$C$44=$C10)*(Submissions!$E$5:$E$44="Minds Building Chatbots Challenge")*Submissions!$K$5:$K$44)))</f>
        <v/>
      </c>
      <c r="K10" s="16" t="str">
        <f aca="false">IF($C10="","",SUMPRODUCT(MAX((Submissions!$C$5:$C$44=$C10)*(Submissions!$E$5:$E$44="Mindsheets Masterpiece and Debugging")*Submissions!$K$5:$K$44)))</f>
        <v/>
      </c>
      <c r="L10" s="17" t="str">
        <f aca="false">IF($C10="","",SUM(E10:K10))</f>
        <v/>
      </c>
      <c r="M10" s="15" t="str">
        <f aca="false">IF($C10="","",IF($N10=1,"🥇",IF($N10=2,"🥈",IF($N10=3,"🥉",""))))</f>
        <v/>
      </c>
      <c r="N10" s="12" t="str">
        <f aca="false">IF($C10="","",1+SUMPRODUCT(($C$5:$C$16&lt;&gt;"")*($L$5:$L$16&gt;$L10)*(MATCH($L$5:$L$16&amp;"",$L$5:$L$16&amp;"",0)=ROW($L$5:$L$16)-4)))</f>
        <v/>
      </c>
      <c r="O10" s="12" t="str">
        <f aca="false">IF($D10="","",IF(COUNTIF($D$5:$D10,$D10)=1,MAX($O$5:O9)+1,""))</f>
        <v/>
      </c>
    </row>
    <row r="11" customFormat="false" ht="15" hidden="false" customHeight="false" outlineLevel="0" collapsed="false">
      <c r="B11" s="13" t="str">
        <f aca="false">IF($C11="","",RANK(L11,$L$5:$L$16))</f>
        <v/>
      </c>
      <c r="C11" s="14" t="str">
        <f aca="false">IFERROR(INDEX(Submissions!$C$5:$C$44,MATCH(7,Submissions!$L$5:$L$44,0)),"")</f>
        <v/>
      </c>
      <c r="D11" s="15" t="str">
        <f aca="false">IF($C11="","",IFERROR(IF(INDEX(Submissions!$D:$D,MATCH($C11,Submissions!$C:$C,0))=0,"(no steward)",INDEX(Submissions!$D:$D,MATCH($C11,Submissions!$C:$C,0))),""))</f>
        <v/>
      </c>
      <c r="E11" s="16" t="str">
        <f aca="false">IF($C11="","",SUMPRODUCT(MAX((Submissions!$C$5:$C$44=$C11)*(Submissions!$E$5:$E$44="Special Skills using X")*Submissions!$K$5:$K$44)))</f>
        <v/>
      </c>
      <c r="F11" s="16" t="str">
        <f aca="false">IF($C11="","",SUMPRODUCT(MAX((Submissions!$C$5:$C$44=$C11)*(Submissions!$E$5:$E$44="More Minds are better than one Mind: Research Quest")*Submissions!$K$5:$K$44)))</f>
        <v/>
      </c>
      <c r="G11" s="16" t="str">
        <f aca="false">IF($C11="","",SUMPRODUCT(MAX((Submissions!$C$5:$C$44=$C11)*(Submissions!$E$5:$E$44="Cross Word Puzzle")*Submissions!$K$5:$K$44)))</f>
        <v/>
      </c>
      <c r="H11" s="16" t="str">
        <f aca="false">IF($C11="","",SUMPRODUCT(MAX((Submissions!$C$5:$C$44=$C11)*(Submissions!$E$5:$E$44="Calm before the Storm")*Submissions!$K$5:$K$44)))</f>
        <v/>
      </c>
      <c r="I11" s="16" t="str">
        <f aca="false">IF($C11="","",SUMPRODUCT(MAX((Submissions!$C$5:$C$44=$C11)*(Submissions!$E$5:$E$44="AstroMesh: Minds &amp; MCP Mashup Challenge")*Submissions!$K$5:$K$44)))</f>
        <v/>
      </c>
      <c r="J11" s="16" t="str">
        <f aca="false">IF($C11="","",SUMPRODUCT(MAX((Submissions!$C$5:$C$44=$C11)*(Submissions!$E$5:$E$44="Minds Building Chatbots Challenge")*Submissions!$K$5:$K$44)))</f>
        <v/>
      </c>
      <c r="K11" s="16" t="str">
        <f aca="false">IF($C11="","",SUMPRODUCT(MAX((Submissions!$C$5:$C$44=$C11)*(Submissions!$E$5:$E$44="Mindsheets Masterpiece and Debugging")*Submissions!$K$5:$K$44)))</f>
        <v/>
      </c>
      <c r="L11" s="17" t="str">
        <f aca="false">IF($C11="","",SUM(E11:K11))</f>
        <v/>
      </c>
      <c r="M11" s="15" t="str">
        <f aca="false">IF($C11="","",IF($N11=1,"🥇",IF($N11=2,"🥈",IF($N11=3,"🥉",""))))</f>
        <v/>
      </c>
      <c r="N11" s="12" t="str">
        <f aca="false">IF($C11="","",1+SUMPRODUCT(($C$5:$C$16&lt;&gt;"")*($L$5:$L$16&gt;$L11)*(MATCH($L$5:$L$16&amp;"",$L$5:$L$16&amp;"",0)=ROW($L$5:$L$16)-4)))</f>
        <v/>
      </c>
      <c r="O11" s="12" t="str">
        <f aca="false">IF($D11="","",IF(COUNTIF($D$5:$D11,$D11)=1,MAX($O$5:O10)+1,""))</f>
        <v/>
      </c>
    </row>
    <row r="12" customFormat="false" ht="15" hidden="false" customHeight="false" outlineLevel="0" collapsed="false">
      <c r="B12" s="13" t="str">
        <f aca="false">IF($C12="","",RANK(L12,$L$5:$L$16))</f>
        <v/>
      </c>
      <c r="C12" s="14" t="str">
        <f aca="false">IFERROR(INDEX(Submissions!$C$5:$C$44,MATCH(8,Submissions!$L$5:$L$44,0)),"")</f>
        <v/>
      </c>
      <c r="D12" s="15" t="str">
        <f aca="false">IF($C12="","",IFERROR(IF(INDEX(Submissions!$D:$D,MATCH($C12,Submissions!$C:$C,0))=0,"(no steward)",INDEX(Submissions!$D:$D,MATCH($C12,Submissions!$C:$C,0))),""))</f>
        <v/>
      </c>
      <c r="E12" s="16" t="str">
        <f aca="false">IF($C12="","",SUMPRODUCT(MAX((Submissions!$C$5:$C$44=$C12)*(Submissions!$E$5:$E$44="Special Skills using X")*Submissions!$K$5:$K$44)))</f>
        <v/>
      </c>
      <c r="F12" s="16" t="str">
        <f aca="false">IF($C12="","",SUMPRODUCT(MAX((Submissions!$C$5:$C$44=$C12)*(Submissions!$E$5:$E$44="More Minds are better than one Mind: Research Quest")*Submissions!$K$5:$K$44)))</f>
        <v/>
      </c>
      <c r="G12" s="16" t="str">
        <f aca="false">IF($C12="","",SUMPRODUCT(MAX((Submissions!$C$5:$C$44=$C12)*(Submissions!$E$5:$E$44="Cross Word Puzzle")*Submissions!$K$5:$K$44)))</f>
        <v/>
      </c>
      <c r="H12" s="16" t="str">
        <f aca="false">IF($C12="","",SUMPRODUCT(MAX((Submissions!$C$5:$C$44=$C12)*(Submissions!$E$5:$E$44="Calm before the Storm")*Submissions!$K$5:$K$44)))</f>
        <v/>
      </c>
      <c r="I12" s="16" t="str">
        <f aca="false">IF($C12="","",SUMPRODUCT(MAX((Submissions!$C$5:$C$44=$C12)*(Submissions!$E$5:$E$44="AstroMesh: Minds &amp; MCP Mashup Challenge")*Submissions!$K$5:$K$44)))</f>
        <v/>
      </c>
      <c r="J12" s="16" t="str">
        <f aca="false">IF($C12="","",SUMPRODUCT(MAX((Submissions!$C$5:$C$44=$C12)*(Submissions!$E$5:$E$44="Minds Building Chatbots Challenge")*Submissions!$K$5:$K$44)))</f>
        <v/>
      </c>
      <c r="K12" s="16" t="str">
        <f aca="false">IF($C12="","",SUMPRODUCT(MAX((Submissions!$C$5:$C$44=$C12)*(Submissions!$E$5:$E$44="Mindsheets Masterpiece and Debugging")*Submissions!$K$5:$K$44)))</f>
        <v/>
      </c>
      <c r="L12" s="17" t="str">
        <f aca="false">IF($C12="","",SUM(E12:K12))</f>
        <v/>
      </c>
      <c r="M12" s="15" t="str">
        <f aca="false">IF($C12="","",IF($N12=1,"🥇",IF($N12=2,"🥈",IF($N12=3,"🥉",""))))</f>
        <v/>
      </c>
      <c r="N12" s="12" t="str">
        <f aca="false">IF($C12="","",1+SUMPRODUCT(($C$5:$C$16&lt;&gt;"")*($L$5:$L$16&gt;$L12)*(MATCH($L$5:$L$16&amp;"",$L$5:$L$16&amp;"",0)=ROW($L$5:$L$16)-4)))</f>
        <v/>
      </c>
      <c r="O12" s="12" t="str">
        <f aca="false">IF($D12="","",IF(COUNTIF($D$5:$D12,$D12)=1,MAX($O$5:O11)+1,""))</f>
        <v/>
      </c>
    </row>
    <row r="13" customFormat="false" ht="15" hidden="false" customHeight="false" outlineLevel="0" collapsed="false">
      <c r="B13" s="13" t="str">
        <f aca="false">IF($C13="","",RANK(L13,$L$5:$L$16))</f>
        <v/>
      </c>
      <c r="C13" s="14" t="str">
        <f aca="false">IFERROR(INDEX(Submissions!$C$5:$C$44,MATCH(9,Submissions!$L$5:$L$44,0)),"")</f>
        <v/>
      </c>
      <c r="D13" s="15" t="str">
        <f aca="false">IF($C13="","",IFERROR(IF(INDEX(Submissions!$D:$D,MATCH($C13,Submissions!$C:$C,0))=0,"(no steward)",INDEX(Submissions!$D:$D,MATCH($C13,Submissions!$C:$C,0))),""))</f>
        <v/>
      </c>
      <c r="E13" s="16" t="str">
        <f aca="false">IF($C13="","",SUMPRODUCT(MAX((Submissions!$C$5:$C$44=$C13)*(Submissions!$E$5:$E$44="Special Skills using X")*Submissions!$K$5:$K$44)))</f>
        <v/>
      </c>
      <c r="F13" s="16" t="str">
        <f aca="false">IF($C13="","",SUMPRODUCT(MAX((Submissions!$C$5:$C$44=$C13)*(Submissions!$E$5:$E$44="More Minds are better than one Mind: Research Quest")*Submissions!$K$5:$K$44)))</f>
        <v/>
      </c>
      <c r="G13" s="16" t="str">
        <f aca="false">IF($C13="","",SUMPRODUCT(MAX((Submissions!$C$5:$C$44=$C13)*(Submissions!$E$5:$E$44="Cross Word Puzzle")*Submissions!$K$5:$K$44)))</f>
        <v/>
      </c>
      <c r="H13" s="16" t="str">
        <f aca="false">IF($C13="","",SUMPRODUCT(MAX((Submissions!$C$5:$C$44=$C13)*(Submissions!$E$5:$E$44="Calm before the Storm")*Submissions!$K$5:$K$44)))</f>
        <v/>
      </c>
      <c r="I13" s="16" t="str">
        <f aca="false">IF($C13="","",SUMPRODUCT(MAX((Submissions!$C$5:$C$44=$C13)*(Submissions!$E$5:$E$44="AstroMesh: Minds &amp; MCP Mashup Challenge")*Submissions!$K$5:$K$44)))</f>
        <v/>
      </c>
      <c r="J13" s="16" t="str">
        <f aca="false">IF($C13="","",SUMPRODUCT(MAX((Submissions!$C$5:$C$44=$C13)*(Submissions!$E$5:$E$44="Minds Building Chatbots Challenge")*Submissions!$K$5:$K$44)))</f>
        <v/>
      </c>
      <c r="K13" s="16" t="str">
        <f aca="false">IF($C13="","",SUMPRODUCT(MAX((Submissions!$C$5:$C$44=$C13)*(Submissions!$E$5:$E$44="Mindsheets Masterpiece and Debugging")*Submissions!$K$5:$K$44)))</f>
        <v/>
      </c>
      <c r="L13" s="17" t="str">
        <f aca="false">IF($C13="","",SUM(E13:K13))</f>
        <v/>
      </c>
      <c r="M13" s="15" t="str">
        <f aca="false">IF($C13="","",IF($N13=1,"🥇",IF($N13=2,"🥈",IF($N13=3,"🥉",""))))</f>
        <v/>
      </c>
      <c r="N13" s="12" t="str">
        <f aca="false">IF($C13="","",1+SUMPRODUCT(($C$5:$C$16&lt;&gt;"")*($L$5:$L$16&gt;$L13)*(MATCH($L$5:$L$16&amp;"",$L$5:$L$16&amp;"",0)=ROW($L$5:$L$16)-4)))</f>
        <v/>
      </c>
      <c r="O13" s="12" t="str">
        <f aca="false">IF($D13="","",IF(COUNTIF($D$5:$D13,$D13)=1,MAX($O$5:O12)+1,""))</f>
        <v/>
      </c>
    </row>
    <row r="14" customFormat="false" ht="15" hidden="false" customHeight="false" outlineLevel="0" collapsed="false">
      <c r="B14" s="13" t="str">
        <f aca="false">IF($C14="","",RANK(L14,$L$5:$L$16))</f>
        <v/>
      </c>
      <c r="C14" s="14" t="str">
        <f aca="false">IFERROR(INDEX(Submissions!$C$5:$C$44,MATCH(10,Submissions!$L$5:$L$44,0)),"")</f>
        <v/>
      </c>
      <c r="D14" s="15" t="str">
        <f aca="false">IF($C14="","",IFERROR(IF(INDEX(Submissions!$D:$D,MATCH($C14,Submissions!$C:$C,0))=0,"(no steward)",INDEX(Submissions!$D:$D,MATCH($C14,Submissions!$C:$C,0))),""))</f>
        <v/>
      </c>
      <c r="E14" s="16" t="str">
        <f aca="false">IF($C14="","",SUMPRODUCT(MAX((Submissions!$C$5:$C$44=$C14)*(Submissions!$E$5:$E$44="Special Skills using X")*Submissions!$K$5:$K$44)))</f>
        <v/>
      </c>
      <c r="F14" s="16" t="str">
        <f aca="false">IF($C14="","",SUMPRODUCT(MAX((Submissions!$C$5:$C$44=$C14)*(Submissions!$E$5:$E$44="More Minds are better than one Mind: Research Quest")*Submissions!$K$5:$K$44)))</f>
        <v/>
      </c>
      <c r="G14" s="16" t="str">
        <f aca="false">IF($C14="","",SUMPRODUCT(MAX((Submissions!$C$5:$C$44=$C14)*(Submissions!$E$5:$E$44="Cross Word Puzzle")*Submissions!$K$5:$K$44)))</f>
        <v/>
      </c>
      <c r="H14" s="16" t="str">
        <f aca="false">IF($C14="","",SUMPRODUCT(MAX((Submissions!$C$5:$C$44=$C14)*(Submissions!$E$5:$E$44="Calm before the Storm")*Submissions!$K$5:$K$44)))</f>
        <v/>
      </c>
      <c r="I14" s="16" t="str">
        <f aca="false">IF($C14="","",SUMPRODUCT(MAX((Submissions!$C$5:$C$44=$C14)*(Submissions!$E$5:$E$44="AstroMesh: Minds &amp; MCP Mashup Challenge")*Submissions!$K$5:$K$44)))</f>
        <v/>
      </c>
      <c r="J14" s="16" t="str">
        <f aca="false">IF($C14="","",SUMPRODUCT(MAX((Submissions!$C$5:$C$44=$C14)*(Submissions!$E$5:$E$44="Minds Building Chatbots Challenge")*Submissions!$K$5:$K$44)))</f>
        <v/>
      </c>
      <c r="K14" s="16" t="str">
        <f aca="false">IF($C14="","",SUMPRODUCT(MAX((Submissions!$C$5:$C$44=$C14)*(Submissions!$E$5:$E$44="Mindsheets Masterpiece and Debugging")*Submissions!$K$5:$K$44)))</f>
        <v/>
      </c>
      <c r="L14" s="17" t="str">
        <f aca="false">IF($C14="","",SUM(E14:K14))</f>
        <v/>
      </c>
      <c r="M14" s="15" t="str">
        <f aca="false">IF($C14="","",IF($N14=1,"🥇",IF($N14=2,"🥈",IF($N14=3,"🥉",""))))</f>
        <v/>
      </c>
      <c r="N14" s="12" t="str">
        <f aca="false">IF($C14="","",1+SUMPRODUCT(($C$5:$C$16&lt;&gt;"")*($L$5:$L$16&gt;$L14)*(MATCH($L$5:$L$16&amp;"",$L$5:$L$16&amp;"",0)=ROW($L$5:$L$16)-4)))</f>
        <v/>
      </c>
      <c r="O14" s="12" t="str">
        <f aca="false">IF($D14="","",IF(COUNTIF($D$5:$D14,$D14)=1,MAX($O$5:O13)+1,""))</f>
        <v/>
      </c>
    </row>
    <row r="15" customFormat="false" ht="15" hidden="false" customHeight="false" outlineLevel="0" collapsed="false">
      <c r="B15" s="13" t="str">
        <f aca="false">IF($C15="","",RANK(L15,$L$5:$L$16))</f>
        <v/>
      </c>
      <c r="C15" s="14" t="str">
        <f aca="false">IFERROR(INDEX(Submissions!$C$5:$C$44,MATCH(11,Submissions!$L$5:$L$44,0)),"")</f>
        <v/>
      </c>
      <c r="D15" s="15" t="str">
        <f aca="false">IF($C15="","",IFERROR(IF(INDEX(Submissions!$D:$D,MATCH($C15,Submissions!$C:$C,0))=0,"(no steward)",INDEX(Submissions!$D:$D,MATCH($C15,Submissions!$C:$C,0))),""))</f>
        <v/>
      </c>
      <c r="E15" s="16" t="str">
        <f aca="false">IF($C15="","",SUMPRODUCT(MAX((Submissions!$C$5:$C$44=$C15)*(Submissions!$E$5:$E$44="Special Skills using X")*Submissions!$K$5:$K$44)))</f>
        <v/>
      </c>
      <c r="F15" s="16" t="str">
        <f aca="false">IF($C15="","",SUMPRODUCT(MAX((Submissions!$C$5:$C$44=$C15)*(Submissions!$E$5:$E$44="More Minds are better than one Mind: Research Quest")*Submissions!$K$5:$K$44)))</f>
        <v/>
      </c>
      <c r="G15" s="16" t="str">
        <f aca="false">IF($C15="","",SUMPRODUCT(MAX((Submissions!$C$5:$C$44=$C15)*(Submissions!$E$5:$E$44="Cross Word Puzzle")*Submissions!$K$5:$K$44)))</f>
        <v/>
      </c>
      <c r="H15" s="16" t="str">
        <f aca="false">IF($C15="","",SUMPRODUCT(MAX((Submissions!$C$5:$C$44=$C15)*(Submissions!$E$5:$E$44="Calm before the Storm")*Submissions!$K$5:$K$44)))</f>
        <v/>
      </c>
      <c r="I15" s="16" t="str">
        <f aca="false">IF($C15="","",SUMPRODUCT(MAX((Submissions!$C$5:$C$44=$C15)*(Submissions!$E$5:$E$44="AstroMesh: Minds &amp; MCP Mashup Challenge")*Submissions!$K$5:$K$44)))</f>
        <v/>
      </c>
      <c r="J15" s="16" t="str">
        <f aca="false">IF($C15="","",SUMPRODUCT(MAX((Submissions!$C$5:$C$44=$C15)*(Submissions!$E$5:$E$44="Minds Building Chatbots Challenge")*Submissions!$K$5:$K$44)))</f>
        <v/>
      </c>
      <c r="K15" s="16" t="str">
        <f aca="false">IF($C15="","",SUMPRODUCT(MAX((Submissions!$C$5:$C$44=$C15)*(Submissions!$E$5:$E$44="Mindsheets Masterpiece and Debugging")*Submissions!$K$5:$K$44)))</f>
        <v/>
      </c>
      <c r="L15" s="17" t="str">
        <f aca="false">IF($C15="","",SUM(E15:K15))</f>
        <v/>
      </c>
      <c r="M15" s="15" t="str">
        <f aca="false">IF($C15="","",IF($N15=1,"🥇",IF($N15=2,"🥈",IF($N15=3,"🥉",""))))</f>
        <v/>
      </c>
      <c r="N15" s="12" t="str">
        <f aca="false">IF($C15="","",1+SUMPRODUCT(($C$5:$C$16&lt;&gt;"")*($L$5:$L$16&gt;$L15)*(MATCH($L$5:$L$16&amp;"",$L$5:$L$16&amp;"",0)=ROW($L$5:$L$16)-4)))</f>
        <v/>
      </c>
      <c r="O15" s="12" t="str">
        <f aca="false">IF($D15="","",IF(COUNTIF($D$5:$D15,$D15)=1,MAX($O$5:O14)+1,""))</f>
        <v/>
      </c>
    </row>
    <row r="16" customFormat="false" ht="15" hidden="false" customHeight="false" outlineLevel="0" collapsed="false">
      <c r="B16" s="13" t="str">
        <f aca="false">IF($C16="","",RANK(L16,$L$5:$L$16))</f>
        <v/>
      </c>
      <c r="C16" s="14" t="str">
        <f aca="false">IFERROR(INDEX(Submissions!$C$5:$C$44,MATCH(12,Submissions!$L$5:$L$44,0)),"")</f>
        <v/>
      </c>
      <c r="D16" s="15" t="str">
        <f aca="false">IF($C16="","",IFERROR(IF(INDEX(Submissions!$D:$D,MATCH($C16,Submissions!$C:$C,0))=0,"(no steward)",INDEX(Submissions!$D:$D,MATCH($C16,Submissions!$C:$C,0))),""))</f>
        <v/>
      </c>
      <c r="E16" s="16" t="str">
        <f aca="false">IF($C16="","",SUMPRODUCT(MAX((Submissions!$C$5:$C$44=$C16)*(Submissions!$E$5:$E$44="Special Skills using X")*Submissions!$K$5:$K$44)))</f>
        <v/>
      </c>
      <c r="F16" s="16" t="str">
        <f aca="false">IF($C16="","",SUMPRODUCT(MAX((Submissions!$C$5:$C$44=$C16)*(Submissions!$E$5:$E$44="More Minds are better than one Mind: Research Quest")*Submissions!$K$5:$K$44)))</f>
        <v/>
      </c>
      <c r="G16" s="16" t="str">
        <f aca="false">IF($C16="","",SUMPRODUCT(MAX((Submissions!$C$5:$C$44=$C16)*(Submissions!$E$5:$E$44="Cross Word Puzzle")*Submissions!$K$5:$K$44)))</f>
        <v/>
      </c>
      <c r="H16" s="16" t="str">
        <f aca="false">IF($C16="","",SUMPRODUCT(MAX((Submissions!$C$5:$C$44=$C16)*(Submissions!$E$5:$E$44="Calm before the Storm")*Submissions!$K$5:$K$44)))</f>
        <v/>
      </c>
      <c r="I16" s="16" t="str">
        <f aca="false">IF($C16="","",SUMPRODUCT(MAX((Submissions!$C$5:$C$44=$C16)*(Submissions!$E$5:$E$44="AstroMesh: Minds &amp; MCP Mashup Challenge")*Submissions!$K$5:$K$44)))</f>
        <v/>
      </c>
      <c r="J16" s="16" t="str">
        <f aca="false">IF($C16="","",SUMPRODUCT(MAX((Submissions!$C$5:$C$44=$C16)*(Submissions!$E$5:$E$44="Minds Building Chatbots Challenge")*Submissions!$K$5:$K$44)))</f>
        <v/>
      </c>
      <c r="K16" s="16" t="str">
        <f aca="false">IF($C16="","",SUMPRODUCT(MAX((Submissions!$C$5:$C$44=$C16)*(Submissions!$E$5:$E$44="Mindsheets Masterpiece and Debugging")*Submissions!$K$5:$K$44)))</f>
        <v/>
      </c>
      <c r="L16" s="17" t="str">
        <f aca="false">IF($C16="","",SUM(E16:K16))</f>
        <v/>
      </c>
      <c r="M16" s="15" t="str">
        <f aca="false">IF($C16="","",IF($N16=1,"🥇",IF($N16=2,"🥈",IF($N16=3,"🥉",""))))</f>
        <v/>
      </c>
      <c r="N16" s="12" t="str">
        <f aca="false">IF($C16="","",1+SUMPRODUCT(($C$5:$C$16&lt;&gt;"")*($L$5:$L$16&gt;$L16)*(MATCH($L$5:$L$16&amp;"",$L$5:$L$16&amp;"",0)=ROW($L$5:$L$16)-4)))</f>
        <v/>
      </c>
      <c r="O16" s="12" t="str">
        <f aca="false">IF($D16="","",IF(COUNTIF($D$5:$D16,$D16)=1,MAX($O$5:O15)+1,""))</f>
        <v/>
      </c>
    </row>
  </sheetData>
  <conditionalFormatting sqref="L5:L16">
    <cfRule type="colorScale" priority="2">
      <colorScale>
        <cfvo type="min" val="0"/>
        <cfvo type="max" val="0"/>
        <color rgb="FFFFEB84"/>
        <color rgb="FF63BE7B"/>
      </colorScale>
    </cfRule>
  </conditionalFormatting>
  <conditionalFormatting sqref="B5:M16">
    <cfRule type="expression" priority="3" aboveAverage="0" equalAverage="0" bottom="0" percent="0" rank="0" text="" dxfId="1">
      <formula>$B5=1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false"/>
  </sheetPr>
  <dimension ref="B2:M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5" min="2" style="0" width="12"/>
  </cols>
  <sheetData>
    <row r="2" customFormat="false" ht="22.05" hidden="false" customHeight="false" outlineLevel="0" collapsed="false">
      <c r="B2" s="1" t="s">
        <v>53</v>
      </c>
    </row>
    <row r="3" customFormat="false" ht="15" hidden="false" customHeight="false" outlineLevel="0" collapsed="false">
      <c r="B3" s="2" t="s">
        <v>54</v>
      </c>
    </row>
    <row r="5" customFormat="false" ht="15" hidden="false" customHeight="false" outlineLevel="0" collapsed="false">
      <c r="B5" s="18" t="s">
        <v>55</v>
      </c>
      <c r="C5" s="18"/>
      <c r="D5" s="18"/>
      <c r="E5" s="18" t="s">
        <v>56</v>
      </c>
      <c r="F5" s="18"/>
      <c r="G5" s="18"/>
      <c r="H5" s="18" t="s">
        <v>57</v>
      </c>
      <c r="I5" s="18"/>
      <c r="J5" s="18"/>
      <c r="K5" s="18" t="s">
        <v>58</v>
      </c>
      <c r="L5" s="18"/>
      <c r="M5" s="18"/>
    </row>
    <row r="6" customFormat="false" ht="15" hidden="false" customHeight="false" outlineLevel="0" collapsed="false">
      <c r="B6" s="19" t="str">
        <f aca="false">INDEX(Leaderboard!C:C,MATCH(1,Leaderboard!B:B,0))</f>
        <v>NeoBerlin</v>
      </c>
      <c r="C6" s="19"/>
      <c r="D6" s="19"/>
      <c r="E6" s="19" t="n">
        <f aca="false">MAX(Leaderboard!L:L)</f>
        <v>186</v>
      </c>
      <c r="F6" s="19"/>
      <c r="G6" s="19"/>
      <c r="H6" s="19" t="n">
        <f aca="false">INDEX(Leaderboard!L:L,MATCH("NeoBerlin",Leaderboard!C:C,0))</f>
        <v>186</v>
      </c>
      <c r="I6" s="19"/>
      <c r="J6" s="19"/>
      <c r="K6" s="19" t="n">
        <f aca="false">MAX(Leaderboard!L:L)-INDEX(Leaderboard!L:L,MATCH("NeoBerlin",Leaderboard!C:C,0))</f>
        <v>0</v>
      </c>
      <c r="L6" s="19"/>
      <c r="M6" s="19"/>
    </row>
    <row r="7" customFormat="false" ht="15" hidden="false" customHeight="false" outlineLevel="0" collapsed="false">
      <c r="B7" s="19"/>
      <c r="C7" s="19"/>
      <c r="D7" s="19"/>
      <c r="E7" s="19"/>
      <c r="F7" s="19"/>
      <c r="G7" s="19"/>
      <c r="H7" s="19"/>
      <c r="I7" s="19"/>
      <c r="J7" s="19"/>
      <c r="K7" s="19"/>
      <c r="L7" s="19"/>
      <c r="M7" s="19"/>
    </row>
    <row r="10" customFormat="false" ht="15" hidden="false" customHeight="false" outlineLevel="0" collapsed="false">
      <c r="B10" s="20" t="s">
        <v>59</v>
      </c>
    </row>
    <row r="11" customFormat="false" ht="15" hidden="false" customHeight="false" outlineLevel="0" collapsed="false">
      <c r="B11" s="5" t="s">
        <v>17</v>
      </c>
      <c r="C11" s="5" t="s">
        <v>60</v>
      </c>
    </row>
    <row r="12" customFormat="false" ht="15" hidden="false" customHeight="false" outlineLevel="0" collapsed="false">
      <c r="B12" s="21" t="str">
        <f aca="false">Leaderboard!C5</f>
        <v>NeoBerlin</v>
      </c>
      <c r="C12" s="15" t="n">
        <f aca="false">Leaderboard!L5</f>
        <v>186</v>
      </c>
    </row>
    <row r="13" customFormat="false" ht="15" hidden="false" customHeight="false" outlineLevel="0" collapsed="false">
      <c r="B13" s="21" t="str">
        <f aca="false">Leaderboard!C6</f>
        <v>Demo-Alpha</v>
      </c>
      <c r="C13" s="15" t="n">
        <f aca="false">Leaderboard!L6</f>
        <v>74</v>
      </c>
    </row>
    <row r="14" customFormat="false" ht="15" hidden="false" customHeight="false" outlineLevel="0" collapsed="false">
      <c r="B14" s="21" t="str">
        <f aca="false">Leaderboard!C7</f>
        <v>Demo-Beta</v>
      </c>
      <c r="C14" s="15" t="n">
        <f aca="false">Leaderboard!L7</f>
        <v>65</v>
      </c>
    </row>
    <row r="15" customFormat="false" ht="15" hidden="false" customHeight="false" outlineLevel="0" collapsed="false">
      <c r="B15" s="21" t="str">
        <f aca="false">Leaderboard!C8</f>
        <v/>
      </c>
      <c r="C15" s="15" t="str">
        <f aca="false">Leaderboard!L8</f>
        <v/>
      </c>
    </row>
    <row r="16" customFormat="false" ht="15" hidden="false" customHeight="false" outlineLevel="0" collapsed="false">
      <c r="B16" s="21" t="str">
        <f aca="false">Leaderboard!C9</f>
        <v/>
      </c>
      <c r="C16" s="15" t="str">
        <f aca="false">Leaderboard!L9</f>
        <v/>
      </c>
    </row>
    <row r="17" customFormat="false" ht="15" hidden="false" customHeight="false" outlineLevel="0" collapsed="false">
      <c r="B17" s="21" t="str">
        <f aca="false">Leaderboard!C10</f>
        <v/>
      </c>
      <c r="C17" s="15" t="str">
        <f aca="false">Leaderboard!L10</f>
        <v/>
      </c>
    </row>
    <row r="18" customFormat="false" ht="15" hidden="false" customHeight="false" outlineLevel="0" collapsed="false">
      <c r="B18" s="21" t="str">
        <f aca="false">Leaderboard!C11</f>
        <v/>
      </c>
      <c r="C18" s="15" t="str">
        <f aca="false">Leaderboard!L11</f>
        <v/>
      </c>
    </row>
    <row r="19" customFormat="false" ht="15" hidden="false" customHeight="false" outlineLevel="0" collapsed="false">
      <c r="B19" s="21" t="str">
        <f aca="false">Leaderboard!C12</f>
        <v/>
      </c>
      <c r="C19" s="15" t="str">
        <f aca="false">Leaderboard!L12</f>
        <v/>
      </c>
    </row>
    <row r="20" customFormat="false" ht="15" hidden="false" customHeight="false" outlineLevel="0" collapsed="false">
      <c r="B20" s="21" t="str">
        <f aca="false">Leaderboard!C13</f>
        <v/>
      </c>
      <c r="C20" s="15" t="str">
        <f aca="false">Leaderboard!L13</f>
        <v/>
      </c>
    </row>
    <row r="21" customFormat="false" ht="15" hidden="false" customHeight="false" outlineLevel="0" collapsed="false">
      <c r="B21" s="21" t="str">
        <f aca="false">Leaderboard!C14</f>
        <v/>
      </c>
      <c r="C21" s="15" t="str">
        <f aca="false">Leaderboard!L14</f>
        <v/>
      </c>
    </row>
    <row r="22" customFormat="false" ht="15" hidden="false" customHeight="false" outlineLevel="0" collapsed="false">
      <c r="B22" s="21" t="str">
        <f aca="false">Leaderboard!C15</f>
        <v/>
      </c>
      <c r="C22" s="15" t="str">
        <f aca="false">Leaderboard!L15</f>
        <v/>
      </c>
    </row>
    <row r="23" customFormat="false" ht="15" hidden="false" customHeight="false" outlineLevel="0" collapsed="false">
      <c r="B23" s="21" t="str">
        <f aca="false">Leaderboard!C16</f>
        <v/>
      </c>
      <c r="C23" s="15" t="str">
        <f aca="false">Leaderboard!L16</f>
        <v/>
      </c>
    </row>
  </sheetData>
  <mergeCells count="8">
    <mergeCell ref="B5:D5"/>
    <mergeCell ref="E5:G5"/>
    <mergeCell ref="H5:J5"/>
    <mergeCell ref="K5:M5"/>
    <mergeCell ref="B6:D7"/>
    <mergeCell ref="E6:G7"/>
    <mergeCell ref="H6:J7"/>
    <mergeCell ref="K6:M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B458"/>
    <pageSetUpPr fitToPage="false"/>
  </sheetPr>
  <dimension ref="B2: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10"/>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9" min="7" style="0" width="14"/>
  </cols>
  <sheetData>
    <row r="2" customFormat="false" ht="22.05" hidden="false" customHeight="false" outlineLevel="0" collapsed="false">
      <c r="B2" s="1" t="s">
        <v>61</v>
      </c>
    </row>
    <row r="3" customFormat="false" ht="15" hidden="false" customHeight="false" outlineLevel="0" collapsed="false">
      <c r="B3" s="2" t="s">
        <v>62</v>
      </c>
    </row>
    <row r="5" customFormat="false" ht="15" hidden="false" customHeight="false" outlineLevel="0" collapsed="false">
      <c r="B5" s="22" t="s">
        <v>63</v>
      </c>
      <c r="D5" s="23" t="n">
        <v>3</v>
      </c>
      <c r="E5" s="2" t="s">
        <v>64</v>
      </c>
    </row>
    <row r="7" customFormat="false" ht="15" hidden="false" customHeight="false" outlineLevel="0" collapsed="false">
      <c r="B7" s="6" t="s">
        <v>18</v>
      </c>
      <c r="C7" s="6" t="s">
        <v>65</v>
      </c>
      <c r="D7" s="6" t="s">
        <v>66</v>
      </c>
      <c r="E7" s="6" t="s">
        <v>67</v>
      </c>
      <c r="F7" s="6" t="s">
        <v>68</v>
      </c>
      <c r="G7" s="6" t="s">
        <v>69</v>
      </c>
    </row>
    <row r="8" customFormat="false" ht="15" hidden="false" customHeight="false" outlineLevel="0" collapsed="false">
      <c r="B8" s="21" t="str">
        <f aca="false">IFERROR(INDEX(Leaderboard!$D$5:$D$16,MATCH(1,Leaderboard!$O$5:$O$16,0)),"")</f>
        <v>Rob (human steward)</v>
      </c>
      <c r="C8" s="15" t="n">
        <f aca="false">IF($B8="","",COUNTIF(Leaderboard!$D$5:$D$16,$B8))</f>
        <v>1</v>
      </c>
      <c r="D8" s="15" t="n">
        <f aca="false">IF($B8="","",SUMIF(Leaderboard!$D$5:$D$16,$B8,Leaderboard!$L$5:$L$16))</f>
        <v>186</v>
      </c>
      <c r="E8" s="24" t="n">
        <f aca="false">IF($B8="","",SQRT(D8))</f>
        <v>13.6381816969859</v>
      </c>
      <c r="F8" s="25" t="n">
        <f aca="false">IF($B8="","",IF(SUM($E$8:$E$14)=0,0,E8/SUM($E$8:$E$14)))</f>
        <v>0.449704468161618</v>
      </c>
      <c r="G8" s="26" t="n">
        <f aca="false">IF($B8="","",$D$5*F8)</f>
        <v>1.34911340448485</v>
      </c>
    </row>
    <row r="9" customFormat="false" ht="15" hidden="false" customHeight="false" outlineLevel="0" collapsed="false">
      <c r="B9" s="21" t="str">
        <f aca="false">IFERROR(INDEX(Leaderboard!$D$5:$D$16,MATCH(2,Leaderboard!$O$5:$O$16,0)),"")</f>
        <v>(fictional)</v>
      </c>
      <c r="C9" s="15" t="n">
        <f aca="false">IF($B9="","",COUNTIF(Leaderboard!$D$5:$D$16,$B9))</f>
        <v>2</v>
      </c>
      <c r="D9" s="15" t="n">
        <f aca="false">IF($B9="","",SUMIF(Leaderboard!$D$5:$D$16,$B9,Leaderboard!$L$5:$L$16))</f>
        <v>139</v>
      </c>
      <c r="E9" s="24" t="n">
        <f aca="false">IF($B9="","",SQRT(D9))</f>
        <v>11.7898261225516</v>
      </c>
      <c r="F9" s="25" t="n">
        <f aca="false">IF($B9="","",IF(SUM($E$8:$E$14)=0,0,E9/SUM($E$8:$E$14)))</f>
        <v>0.388756918184467</v>
      </c>
      <c r="G9" s="26" t="n">
        <f aca="false">IF($B9="","",$D$5*F9)</f>
        <v>1.1662707545534</v>
      </c>
    </row>
    <row r="10" customFormat="false" ht="15" hidden="false" customHeight="false" outlineLevel="0" collapsed="false">
      <c r="B10" s="21" t="str">
        <f aca="false">IFERROR(INDEX(Leaderboard!$D$5:$D$16,MATCH(3,Leaderboard!$O$5:$O$16,0)),"")</f>
        <v/>
      </c>
      <c r="C10" s="15" t="str">
        <f aca="false">IF($B10="","",COUNTIF(Leaderboard!$D$5:$D$16,$B10))</f>
        <v/>
      </c>
      <c r="D10" s="15" t="str">
        <f aca="false">IF($B10="","",SUMIF(Leaderboard!$D$5:$D$16,$B10,Leaderboard!$L$5:$L$16))</f>
        <v/>
      </c>
      <c r="E10" s="24" t="str">
        <f aca="false">IF($B10="","",SQRT(D10))</f>
        <v/>
      </c>
      <c r="F10" s="25" t="str">
        <f aca="false">IF($B10="","",IF(SUM($E$8:$E$14)=0,0,E10/SUM($E$8:$E$14)))</f>
        <v/>
      </c>
      <c r="G10" s="26" t="str">
        <f aca="false">IF($B10="","",$D$5*F10)</f>
        <v/>
      </c>
    </row>
    <row r="11" customFormat="false" ht="15" hidden="false" customHeight="false" outlineLevel="0" collapsed="false">
      <c r="B11" s="21" t="str">
        <f aca="false">IFERROR(INDEX(Leaderboard!$D$5:$D$16,MATCH(4,Leaderboard!$O$5:$O$16,0)),"")</f>
        <v/>
      </c>
      <c r="C11" s="15" t="str">
        <f aca="false">IF($B11="","",COUNTIF(Leaderboard!$D$5:$D$16,$B11))</f>
        <v/>
      </c>
      <c r="D11" s="15" t="str">
        <f aca="false">IF($B11="","",SUMIF(Leaderboard!$D$5:$D$16,$B11,Leaderboard!$L$5:$L$16))</f>
        <v/>
      </c>
      <c r="E11" s="24" t="str">
        <f aca="false">IF($B11="","",SQRT(D11))</f>
        <v/>
      </c>
      <c r="F11" s="25" t="str">
        <f aca="false">IF($B11="","",IF(SUM($E$8:$E$14)=0,0,E11/SUM($E$8:$E$14)))</f>
        <v/>
      </c>
      <c r="G11" s="26" t="str">
        <f aca="false">IF($B11="","",$D$5*F11)</f>
        <v/>
      </c>
    </row>
    <row r="12" customFormat="false" ht="15" hidden="false" customHeight="false" outlineLevel="0" collapsed="false">
      <c r="B12" s="21" t="str">
        <f aca="false">IFERROR(INDEX(Leaderboard!$D$5:$D$16,MATCH(5,Leaderboard!$O$5:$O$16,0)),"")</f>
        <v/>
      </c>
      <c r="C12" s="15" t="str">
        <f aca="false">IF($B12="","",COUNTIF(Leaderboard!$D$5:$D$16,$B12))</f>
        <v/>
      </c>
      <c r="D12" s="15" t="str">
        <f aca="false">IF($B12="","",SUMIF(Leaderboard!$D$5:$D$16,$B12,Leaderboard!$L$5:$L$16))</f>
        <v/>
      </c>
      <c r="E12" s="24" t="str">
        <f aca="false">IF($B12="","",SQRT(D12))</f>
        <v/>
      </c>
      <c r="F12" s="25" t="str">
        <f aca="false">IF($B12="","",IF(SUM($E$8:$E$14)=0,0,E12/SUM($E$8:$E$14)))</f>
        <v/>
      </c>
      <c r="G12" s="26" t="str">
        <f aca="false">IF($B12="","",$D$5*F12)</f>
        <v/>
      </c>
    </row>
    <row r="13" customFormat="false" ht="15" hidden="false" customHeight="false" outlineLevel="0" collapsed="false">
      <c r="B13" s="21" t="str">
        <f aca="false">IFERROR(INDEX(Leaderboard!$D$5:$D$16,MATCH(6,Leaderboard!$O$5:$O$16,0)),"")</f>
        <v/>
      </c>
      <c r="C13" s="15" t="str">
        <f aca="false">IF($B13="","",COUNTIF(Leaderboard!$D$5:$D$16,$B13))</f>
        <v/>
      </c>
      <c r="D13" s="15" t="str">
        <f aca="false">IF($B13="","",SUMIF(Leaderboard!$D$5:$D$16,$B13,Leaderboard!$L$5:$L$16))</f>
        <v/>
      </c>
      <c r="E13" s="24" t="str">
        <f aca="false">IF($B13="","",SQRT(D13))</f>
        <v/>
      </c>
      <c r="F13" s="25" t="str">
        <f aca="false">IF($B13="","",IF(SUM($E$8:$E$14)=0,0,E13/SUM($E$8:$E$14)))</f>
        <v/>
      </c>
      <c r="G13" s="26" t="str">
        <f aca="false">IF($B13="","",$D$5*F13)</f>
        <v/>
      </c>
    </row>
    <row r="14" customFormat="false" ht="15" hidden="false" customHeight="false" outlineLevel="0" collapsed="false">
      <c r="B14" s="21" t="s">
        <v>70</v>
      </c>
      <c r="C14" s="27" t="n">
        <v>12</v>
      </c>
      <c r="D14" s="27" t="n">
        <f aca="false">C14*2</f>
        <v>24</v>
      </c>
      <c r="E14" s="24" t="n">
        <f aca="false">SQRT(D14)</f>
        <v>4.89897948556636</v>
      </c>
      <c r="F14" s="25" t="n">
        <f aca="false">IF($B14="","",IF(SUM($E$8:$E$14)=0,0,E14/SUM($E$8:$E$14)))</f>
        <v>0.161538613653915</v>
      </c>
      <c r="G14" s="26" t="n">
        <f aca="false">IF($B14="","",$D$5*F14)</f>
        <v>0.484615840961746</v>
      </c>
    </row>
    <row r="15" customFormat="false" ht="15" hidden="false" customHeight="false" outlineLevel="0" collapsed="false">
      <c r="B15" s="28" t="s">
        <v>71</v>
      </c>
      <c r="C15" s="29"/>
      <c r="D15" s="29"/>
      <c r="E15" s="29"/>
      <c r="F15" s="30" t="n">
        <f aca="false">SUM(F8:F14)</f>
        <v>1</v>
      </c>
      <c r="G15" s="31" t="n">
        <f aca="false">SUM(G8:G14)</f>
        <v>3</v>
      </c>
    </row>
    <row r="16" customFormat="false" ht="15" hidden="false" customHeight="false" outlineLevel="0" collapsed="false">
      <c r="B16" s="32" t="s">
        <v>72</v>
      </c>
      <c r="E16" s="33" t="str">
        <f aca="false">IF(ABS(SUM($D$8:$D$13)-SUM(Leaderboard!$L$5:$L$16))&lt;0.0001,"OK - all merit accounted for","MISMATCH - a Mind's merit is missing from the split")</f>
        <v>OK - all merit accounted for</v>
      </c>
    </row>
    <row r="17" customFormat="false" ht="15" hidden="false" customHeight="false" outlineLevel="0" collapsed="false">
      <c r="B17" s="2" t="s">
        <v>73</v>
      </c>
    </row>
    <row r="18" customFormat="false" ht="15" hidden="false" customHeight="false" outlineLevel="0" collapsed="false">
      <c r="B18" s="2" t="s">
        <v>74</v>
      </c>
    </row>
    <row r="19" customFormat="false" ht="15" hidden="false" customHeight="false" outlineLevel="0" collapsed="false">
      <c r="B19" s="2" t="s">
        <v>75</v>
      </c>
    </row>
  </sheetData>
  <conditionalFormatting sqref="E16">
    <cfRule type="expression" priority="2" aboveAverage="0" equalAverage="0" bottom="0" percent="0" rank="0" text="" dxfId="2">
      <formula>LEFT($E$16,2)="OK"</formula>
    </cfRule>
    <cfRule type="expression" priority="3" aboveAverage="0" equalAverage="0" bottom="0" percent="0" rank="0" text="" dxfId="3">
      <formula>LEFT($E$16,2)&lt;&gt;"OK"</formula>
    </cfRule>
  </conditionalFormatting>
  <conditionalFormatting sqref="G8:G14">
    <cfRule type="colorScale" priority="4">
      <colorScale>
        <cfvo type="min" val="0"/>
        <cfvo type="max" val="0"/>
        <color rgb="FFF8696B"/>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B2: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48"/>
    <col collapsed="false" customWidth="true" hidden="false" outlineLevel="0" max="4" min="4" style="0" width="46"/>
    <col collapsed="false" customWidth="true" hidden="false" outlineLevel="0" max="5" min="5" style="0" width="54"/>
    <col collapsed="false" customWidth="true" hidden="false" outlineLevel="0" max="6" min="6" style="0" width="58"/>
    <col collapsed="false" customWidth="true" hidden="false" outlineLevel="0" max="7" min="7" style="0" width="11"/>
  </cols>
  <sheetData>
    <row r="2" customFormat="false" ht="22.05" hidden="false" customHeight="false" outlineLevel="0" collapsed="false">
      <c r="B2" s="1" t="s">
        <v>76</v>
      </c>
    </row>
    <row r="3" customFormat="false" ht="15" hidden="false" customHeight="false" outlineLevel="0" collapsed="false">
      <c r="B3" s="2" t="s">
        <v>77</v>
      </c>
    </row>
    <row r="5" customFormat="false" ht="15" hidden="false" customHeight="false" outlineLevel="0" collapsed="false">
      <c r="B5" s="6" t="s">
        <v>16</v>
      </c>
      <c r="C5" s="6" t="s">
        <v>78</v>
      </c>
      <c r="D5" s="6" t="s">
        <v>79</v>
      </c>
      <c r="E5" s="6" t="s">
        <v>80</v>
      </c>
      <c r="F5" s="6" t="s">
        <v>81</v>
      </c>
      <c r="G5" s="6" t="s">
        <v>82</v>
      </c>
    </row>
    <row r="6" customFormat="false" ht="15" hidden="false" customHeight="false" outlineLevel="0" collapsed="false">
      <c r="B6" s="34" t="n">
        <v>1</v>
      </c>
      <c r="C6" s="35" t="s">
        <v>83</v>
      </c>
      <c r="D6" s="35" t="s">
        <v>84</v>
      </c>
      <c r="E6" s="35" t="s">
        <v>85</v>
      </c>
      <c r="F6" s="9" t="s">
        <v>86</v>
      </c>
      <c r="G6" s="10" t="s">
        <v>87</v>
      </c>
    </row>
    <row r="7" customFormat="false" ht="15" hidden="false" customHeight="false" outlineLevel="0" collapsed="false">
      <c r="B7" s="34" t="n">
        <v>2</v>
      </c>
      <c r="C7" s="35" t="s">
        <v>88</v>
      </c>
      <c r="D7" s="35" t="s">
        <v>89</v>
      </c>
      <c r="E7" s="35" t="s">
        <v>90</v>
      </c>
      <c r="F7" s="9" t="s">
        <v>91</v>
      </c>
      <c r="G7" s="10" t="s">
        <v>92</v>
      </c>
    </row>
    <row r="8" customFormat="false" ht="15" hidden="false" customHeight="false" outlineLevel="0" collapsed="false">
      <c r="B8" s="34" t="n">
        <v>3</v>
      </c>
      <c r="C8" s="35" t="s">
        <v>93</v>
      </c>
      <c r="D8" s="35" t="s">
        <v>94</v>
      </c>
      <c r="E8" s="35" t="s">
        <v>95</v>
      </c>
      <c r="F8" s="9" t="s">
        <v>96</v>
      </c>
      <c r="G8" s="10" t="s">
        <v>97</v>
      </c>
    </row>
    <row r="9" customFormat="false" ht="15" hidden="false" customHeight="false" outlineLevel="0" collapsed="false">
      <c r="B9" s="34" t="n">
        <v>4</v>
      </c>
      <c r="C9" s="35" t="s">
        <v>98</v>
      </c>
      <c r="D9" s="35" t="s">
        <v>99</v>
      </c>
      <c r="E9" s="35" t="s">
        <v>100</v>
      </c>
      <c r="F9" s="9" t="s">
        <v>101</v>
      </c>
      <c r="G9" s="10" t="s">
        <v>97</v>
      </c>
    </row>
    <row r="10" customFormat="false" ht="15" hidden="false" customHeight="false" outlineLevel="0" collapsed="false">
      <c r="B10" s="34" t="n">
        <v>5</v>
      </c>
      <c r="C10" s="35" t="s">
        <v>102</v>
      </c>
      <c r="D10" s="35" t="s">
        <v>103</v>
      </c>
      <c r="E10" s="35" t="s">
        <v>104</v>
      </c>
      <c r="F10" s="9" t="s">
        <v>105</v>
      </c>
      <c r="G10" s="10" t="s">
        <v>87</v>
      </c>
    </row>
    <row r="11" customFormat="false" ht="15" hidden="false" customHeight="false" outlineLevel="0" collapsed="false">
      <c r="B11" s="34" t="n">
        <v>6</v>
      </c>
      <c r="C11" s="35" t="s">
        <v>106</v>
      </c>
      <c r="D11" s="35" t="s">
        <v>107</v>
      </c>
      <c r="E11" s="35" t="s">
        <v>108</v>
      </c>
      <c r="F11" s="9" t="s">
        <v>109</v>
      </c>
      <c r="G11" s="10" t="s">
        <v>97</v>
      </c>
    </row>
    <row r="12" customFormat="false" ht="15" hidden="false" customHeight="false" outlineLevel="0" collapsed="false">
      <c r="B12" s="34" t="n">
        <v>7</v>
      </c>
      <c r="C12" s="35" t="s">
        <v>110</v>
      </c>
      <c r="D12" s="35" t="s">
        <v>111</v>
      </c>
      <c r="E12" s="35" t="s">
        <v>112</v>
      </c>
      <c r="F12" s="9" t="s">
        <v>113</v>
      </c>
      <c r="G12" s="10" t="s">
        <v>87</v>
      </c>
    </row>
    <row r="13" customFormat="false" ht="15" hidden="false" customHeight="false" outlineLevel="0" collapsed="false">
      <c r="B13" s="34" t="n">
        <v>8</v>
      </c>
      <c r="C13" s="35" t="s">
        <v>114</v>
      </c>
      <c r="D13" s="35" t="s">
        <v>115</v>
      </c>
      <c r="E13" s="35" t="s">
        <v>116</v>
      </c>
      <c r="F13" s="9" t="s">
        <v>117</v>
      </c>
      <c r="G13" s="10" t="s">
        <v>97</v>
      </c>
    </row>
    <row r="15" customFormat="false" ht="15" hidden="false" customHeight="false" outlineLevel="0" collapsed="false">
      <c r="B15" s="36"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P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min="16" max="16" width="9" customWidth="1" hidden="1"/>
    <col min="15" max="15" width="9" customWidth="1" hidden="1"/>
    <col min="14" max="14" width="9" customWidth="1" hidden="1"/>
    <col collapsed="false" customWidth="true" hidden="false" outlineLevel="0" max="2" min="2" style="0" width="28"/>
    <col collapsed="false" customWidth="true" hidden="false" outlineLevel="0" max="5" min="3" style="0" width="7"/>
    <col collapsed="false" customWidth="true" hidden="false" outlineLevel="0" max="6" min="6" style="0" width="8"/>
    <col collapsed="false" customWidth="true" hidden="false" outlineLevel="0" max="7" min="7" style="0" width="12"/>
    <col collapsed="false" customWidth="true" hidden="false" outlineLevel="0" max="8" min="8" style="0" width="9"/>
    <col collapsed="false" customWidth="true" hidden="false" outlineLevel="0" max="9" min="9" style="0" width="15"/>
    <col collapsed="false" customWidth="true" hidden="false" outlineLevel="0" max="10" min="10" style="0" width="20"/>
    <col collapsed="false" customWidth="true" hidden="false" outlineLevel="0" max="11" min="11" style="0" width="26"/>
    <col collapsed="false" customWidth="true" hidden="false" outlineLevel="0" max="12" min="12" style="0" width="14"/>
    <col collapsed="false" customWidth="true" hidden="false" outlineLevel="0" max="13" min="13" style="0" width="24"/>
    <col collapsed="false" customWidth="true" hidden="true" outlineLevel="0" max="16" min="14" style="0" width="13"/>
  </cols>
  <sheetData>
    <row r="2" customFormat="false" ht="22.05" hidden="false" customHeight="false" outlineLevel="0" collapsed="false">
      <c r="B2" s="1" t="s">
        <v>119</v>
      </c>
    </row>
    <row r="3" customFormat="false" ht="15" hidden="false" customHeight="false" outlineLevel="0" collapsed="false">
      <c r="B3" s="2" t="s">
        <v>120</v>
      </c>
    </row>
    <row r="5" customFormat="false" ht="15" hidden="false" customHeight="false" outlineLevel="0" collapsed="false">
      <c r="B5" s="6" t="s">
        <v>19</v>
      </c>
      <c r="C5" s="6" t="s">
        <v>121</v>
      </c>
      <c r="D5" s="6" t="s">
        <v>122</v>
      </c>
      <c r="E5" s="6" t="s">
        <v>123</v>
      </c>
      <c r="F5" s="6" t="s">
        <v>124</v>
      </c>
      <c r="G5" s="6" t="s">
        <v>125</v>
      </c>
      <c r="H5" s="6" t="s">
        <v>126</v>
      </c>
      <c r="I5" s="6" t="s">
        <v>127</v>
      </c>
      <c r="J5" s="6" t="s">
        <v>128</v>
      </c>
      <c r="K5" s="6" t="s">
        <v>129</v>
      </c>
      <c r="L5" s="6" t="s">
        <v>130</v>
      </c>
      <c r="M5" s="6" t="s">
        <v>131</v>
      </c>
      <c r="N5" s="7" t="s">
        <v>132</v>
      </c>
      <c r="O5" s="7" t="s">
        <v>133</v>
      </c>
      <c r="P5" s="7" t="s">
        <v>134</v>
      </c>
    </row>
    <row r="6" customFormat="false" ht="15" hidden="false" customHeight="false" outlineLevel="0" collapsed="false">
      <c r="B6" s="35" t="s">
        <v>30</v>
      </c>
      <c r="C6" s="37" t="n">
        <f aca="false">INDEX(Leaderboard!$E$5:$K$5,MATCH($N6,Leaderboard!$E$4:$K$4,0))</f>
        <v>28</v>
      </c>
      <c r="D6" s="34" t="n">
        <f aca="false">$O6+COUNTIFS(Submissions!$C$5:$C$44,"NeoBerlin",Submissions!$E$5:$E$44,$P6)</f>
        <v>4</v>
      </c>
      <c r="E6" s="34" t="n">
        <f aca="false">MAX(0,8-$D6)</f>
        <v>4</v>
      </c>
      <c r="F6" s="10" t="n">
        <v>4</v>
      </c>
      <c r="G6" s="10" t="n">
        <v>27.5</v>
      </c>
      <c r="H6" s="10" t="n">
        <v>0.71</v>
      </c>
      <c r="I6" s="38" t="n">
        <f aca="false">IF($F6&lt;2,"n/a",1-NORMDIST($C6,$G6,$H6,TRUE()))</f>
        <v>0.240646222600921</v>
      </c>
      <c r="J6" s="39" t="n">
        <f aca="false">IF($F6&lt;2,"insufficient history",$C6*NORMDIST($C6,$G6,$H6,TRUE())+$G6*(1-NORMDIST($C6,$G6,$H6,TRUE()))+$H6*$H6*NORMDIST($C6,$G6,$H6,FALSE())-$C6)</f>
        <v>0.100720443700393</v>
      </c>
      <c r="K6" s="40" t="str">
        <f aca="false">IF($F6&lt;2,"need &gt;=2 scores",IF($E6=0,"no attempts left",IF($J6&gt;=0.5,"SHOOT — best use of an attempt",IF($J6&gt;=0.15,"worthwhile","low return"))))</f>
        <v>low return</v>
      </c>
      <c r="L6" s="41" t="n">
        <f aca="false">IF(AND($E6&gt;0,$F6&gt;=2),$J6,-999)</f>
        <v>0.100720443700393</v>
      </c>
      <c r="M6" s="42" t="str">
        <f aca="false">IF($F6&lt;2,"",REPT("|",ROUND(MAX($J6,0)*20,0)))</f>
        <v>||</v>
      </c>
      <c r="N6" s="12" t="s">
        <v>42</v>
      </c>
      <c r="O6" s="12" t="n">
        <v>3</v>
      </c>
      <c r="P6" s="12" t="s">
        <v>30</v>
      </c>
    </row>
    <row r="7" customFormat="false" ht="15" hidden="false" customHeight="false" outlineLevel="0" collapsed="false">
      <c r="B7" s="35" t="s">
        <v>135</v>
      </c>
      <c r="C7" s="37" t="n">
        <f aca="false">INDEX(Leaderboard!$E$5:$K$5,MATCH($N7,Leaderboard!$E$4:$K$4,0))</f>
        <v>28</v>
      </c>
      <c r="D7" s="34" t="n">
        <f aca="false">$O7+COUNTIFS(Submissions!$C$5:$C$44,"NeoBerlin",Submissions!$E$5:$E$44,$P7)</f>
        <v>7</v>
      </c>
      <c r="E7" s="34" t="n">
        <f aca="false">MAX(0,8-$D7)</f>
        <v>1</v>
      </c>
      <c r="F7" s="10" t="n">
        <v>5</v>
      </c>
      <c r="G7" s="10" t="n">
        <v>26.5</v>
      </c>
      <c r="H7" s="10" t="n">
        <v>1.36</v>
      </c>
      <c r="I7" s="38" t="n">
        <f aca="false">IF($F7&lt;2,"n/a",1-NORMDIST($C7,$G7,$H7,TRUE()))</f>
        <v>0.135026355547818</v>
      </c>
      <c r="J7" s="39" t="n">
        <f aca="false">IF($F7&lt;2,"insufficient history",$C7*NORMDIST($C7,$G7,$H7,TRUE())+$G7*(1-NORMDIST($C7,$G7,$H7,TRUE()))+$H7*$H7*NORMDIST($C7,$G7,$H7,FALSE())-$C7)</f>
        <v>0.0927811494462922</v>
      </c>
      <c r="K7" s="40" t="str">
        <f aca="false">IF($F7&lt;2,"need &gt;=2 scores",IF($E7=0,"no attempts left",IF($J7&gt;=0.5,"SHOOT — best use of an attempt",IF($J7&gt;=0.15,"worthwhile","low return"))))</f>
        <v>low return</v>
      </c>
      <c r="L7" s="41" t="n">
        <f aca="false">IF(AND($E7&gt;0,$F7&gt;=2),$J7,-999)</f>
        <v>0.0927811494462922</v>
      </c>
      <c r="M7" s="42" t="str">
        <f aca="false">IF($F7&lt;2,"",REPT("|",ROUND(MAX($J7,0)*20,0)))</f>
        <v>||</v>
      </c>
      <c r="N7" s="12" t="s">
        <v>43</v>
      </c>
      <c r="O7" s="12" t="n">
        <v>6</v>
      </c>
      <c r="P7" s="12" t="s">
        <v>31</v>
      </c>
    </row>
    <row r="8" customFormat="false" ht="15" hidden="false" customHeight="false" outlineLevel="0" collapsed="false">
      <c r="B8" s="35" t="s">
        <v>32</v>
      </c>
      <c r="C8" s="37" t="n">
        <f aca="false">INDEX(Leaderboard!$E$5:$K$5,MATCH($N8,Leaderboard!$E$4:$K$4,0))</f>
        <v>27</v>
      </c>
      <c r="D8" s="34" t="n">
        <f aca="false">$O8+COUNTIFS(Submissions!$C$5:$C$44,"NeoBerlin",Submissions!$E$5:$E$44,$P8)</f>
        <v>8</v>
      </c>
      <c r="E8" s="34" t="n">
        <f aca="false">MAX(0,8-$D8)</f>
        <v>0</v>
      </c>
      <c r="F8" s="10" t="n">
        <v>7</v>
      </c>
      <c r="G8" s="10" t="n">
        <v>25</v>
      </c>
      <c r="H8" s="10" t="n">
        <v>2.23</v>
      </c>
      <c r="I8" s="38" t="n">
        <f aca="false">IF($F8&lt;2,"n/a",1-NORMDIST($C8,$G8,$H8,TRUE()))</f>
        <v>0.184896550093709</v>
      </c>
      <c r="J8" s="39" t="n">
        <f aca="false">IF($F8&lt;2,"insufficient history",$C8*NORMDIST($C8,$G8,$H8,TRUE())+$G8*(1-NORMDIST($C8,$G8,$H8,TRUE()))+$H8*$H8*NORMDIST($C8,$G8,$H8,FALSE())-$C8)</f>
        <v>0.225252782691307</v>
      </c>
      <c r="K8" s="40" t="str">
        <f aca="false">IF($F8&lt;2,"need &gt;=2 scores",IF($E8=0,"no attempts left",IF($J8&gt;=0.5,"SHOOT — best use of an attempt",IF($J8&gt;=0.15,"worthwhile","low return"))))</f>
        <v>no attempts left</v>
      </c>
      <c r="L8" s="41" t="n">
        <f aca="false">IF(AND($E8&gt;0,$F8&gt;=2),$J8,-999)</f>
        <v>-999</v>
      </c>
      <c r="M8" s="42" t="str">
        <f aca="false">IF($F8&lt;2,"",REPT("|",ROUND(MAX($J8,0)*20,0)))</f>
        <v>|||||</v>
      </c>
      <c r="N8" s="12" t="s">
        <v>44</v>
      </c>
      <c r="O8" s="12" t="n">
        <v>7</v>
      </c>
      <c r="P8" s="12" t="s">
        <v>32</v>
      </c>
    </row>
    <row r="9" customFormat="false" ht="15" hidden="false" customHeight="false" outlineLevel="0" collapsed="false">
      <c r="B9" s="35" t="s">
        <v>33</v>
      </c>
      <c r="C9" s="37" t="n">
        <f aca="false">INDEX(Leaderboard!$E$5:$K$5,MATCH($N9,Leaderboard!$E$4:$K$4,0))</f>
        <v>26</v>
      </c>
      <c r="D9" s="34" t="n">
        <f aca="false">$O9+COUNTIFS(Submissions!$C$5:$C$44,"NeoBerlin",Submissions!$E$5:$E$44,$P9)</f>
        <v>7</v>
      </c>
      <c r="E9" s="34" t="n">
        <f aca="false">MAX(0,8-$D9)</f>
        <v>1</v>
      </c>
      <c r="F9" s="10" t="n">
        <v>7</v>
      </c>
      <c r="G9" s="10" t="n">
        <v>24.5</v>
      </c>
      <c r="H9" s="10" t="n">
        <v>1.76</v>
      </c>
      <c r="I9" s="38" t="n">
        <f aca="false">IF($F9&lt;2,"n/a",1-NORMDIST($C9,$G9,$H9,TRUE()))</f>
        <v>0.197031369686655</v>
      </c>
      <c r="J9" s="39" t="n">
        <f aca="false">IF($F9&lt;2,"insufficient history",$C9*NORMDIST($C9,$G9,$H9,TRUE())+$G9*(1-NORMDIST($C9,$G9,$H9,TRUE()))+$H9*$H9*NORMDIST($C9,$G9,$H9,FALSE())-$C9)</f>
        <v>0.192760847660367</v>
      </c>
      <c r="K9" s="40" t="str">
        <f aca="false">IF($F9&lt;2,"need &gt;=2 scores",IF($E9=0,"no attempts left",IF($J9&gt;=0.5,"SHOOT — best use of an attempt",IF($J9&gt;=0.15,"worthwhile","low return"))))</f>
        <v>worthwhile</v>
      </c>
      <c r="L9" s="41" t="n">
        <f aca="false">IF(AND($E9&gt;0,$F9&gt;=2),$J9,-999)</f>
        <v>0.192760847660367</v>
      </c>
      <c r="M9" s="42" t="str">
        <f aca="false">IF($F9&lt;2,"",REPT("|",ROUND(MAX($J9,0)*20,0)))</f>
        <v>||||</v>
      </c>
      <c r="N9" s="12" t="s">
        <v>45</v>
      </c>
      <c r="O9" s="12" t="n">
        <v>6</v>
      </c>
      <c r="P9" s="12" t="s">
        <v>33</v>
      </c>
    </row>
    <row r="10" customFormat="false" ht="15" hidden="false" customHeight="false" outlineLevel="0" collapsed="false">
      <c r="B10" s="35" t="s">
        <v>136</v>
      </c>
      <c r="C10" s="37" t="n">
        <f aca="false">INDEX(Leaderboard!$E$5:$K$5,MATCH($N10,Leaderboard!$E$4:$K$4,0))</f>
        <v>26</v>
      </c>
      <c r="D10" s="34" t="n">
        <f aca="false">$O10+COUNTIFS(Submissions!$C$5:$C$44,"NeoBerlin",Submissions!$E$5:$E$44,$P10)</f>
        <v>5</v>
      </c>
      <c r="E10" s="34" t="n">
        <f aca="false">MAX(0,8-$D10)</f>
        <v>3</v>
      </c>
      <c r="F10" s="10" t="n">
        <v>5</v>
      </c>
      <c r="G10" s="10" t="n">
        <v>23.5</v>
      </c>
      <c r="H10" s="10" t="n">
        <v>1.17</v>
      </c>
      <c r="I10" s="38" t="n">
        <f aca="false">IF($F10&lt;2,"n/a",1-NORMDIST($C10,$G10,$H10,TRUE()))</f>
        <v>0.0163090784888628</v>
      </c>
      <c r="J10" s="39" t="n">
        <f aca="false">IF($F10&lt;2,"insufficient history",$C10*NORMDIST($C10,$G10,$H10,TRUE())+$G10*(1-NORMDIST($C10,$G10,$H10,TRUE()))+$H10*$H10*NORMDIST($C10,$G10,$H10,FALSE())-$C10)</f>
        <v>0.00683362959041389</v>
      </c>
      <c r="K10" s="40" t="str">
        <f aca="false">IF($F10&lt;2,"need &gt;=2 scores",IF($E10=0,"no attempts left",IF($J10&gt;=0.5,"SHOOT — best use of an attempt",IF($J10&gt;=0.15,"worthwhile","low return"))))</f>
        <v>low return</v>
      </c>
      <c r="L10" s="41" t="n">
        <f aca="false">IF(AND($E10&gt;0,$F10&gt;=2),$J10,-999)</f>
        <v>0.00683362959041389</v>
      </c>
      <c r="M10" s="42" t="str">
        <f aca="false">IF($F10&lt;2,"",REPT("|",ROUND(MAX($J10,0)*20,0)))</f>
        <v/>
      </c>
      <c r="N10" s="12" t="s">
        <v>46</v>
      </c>
      <c r="O10" s="12" t="n">
        <v>4</v>
      </c>
      <c r="P10" s="12" t="s">
        <v>34</v>
      </c>
    </row>
    <row r="11" customFormat="false" ht="15" hidden="false" customHeight="false" outlineLevel="0" collapsed="false">
      <c r="B11" s="35" t="s">
        <v>137</v>
      </c>
      <c r="C11" s="37" t="n">
        <f aca="false">INDEX(Leaderboard!$E$5:$K$5,MATCH($N11,Leaderboard!$E$4:$K$4,0))</f>
        <v>26</v>
      </c>
      <c r="D11" s="34" t="n">
        <f aca="false">$O11+COUNTIFS(Submissions!$C$5:$C$44,"NeoBerlin",Submissions!$E$5:$E$44,$P11)</f>
        <v>7</v>
      </c>
      <c r="E11" s="34" t="n">
        <f aca="false">MAX(0,8-$D11)</f>
        <v>1</v>
      </c>
      <c r="F11" s="10" t="n">
        <v>7</v>
      </c>
      <c r="G11" s="10" t="n">
        <v>23</v>
      </c>
      <c r="H11" s="10" t="n">
        <v>1.76</v>
      </c>
      <c r="I11" s="38" t="n">
        <f aca="false">IF($F11&lt;2,"n/a",1-NORMDIST($C11,$G11,$H11,TRUE()))</f>
        <v>0.0441396158580674</v>
      </c>
      <c r="J11" s="39" t="n">
        <f aca="false">IF($F11&lt;2,"insufficient history",$C11*NORMDIST($C11,$G11,$H11,TRUE())+$G11*(1-NORMDIST($C11,$G11,$H11,TRUE()))+$H11*$H11*NORMDIST($C11,$G11,$H11,FALSE())-$C11)</f>
        <v>0.0318316934919807</v>
      </c>
      <c r="K11" s="40" t="str">
        <f aca="false">IF($F11&lt;2,"need &gt;=2 scores",IF($E11=0,"no attempts left",IF($J11&gt;=0.5,"SHOOT — best use of an attempt",IF($J11&gt;=0.15,"worthwhile","low return"))))</f>
        <v>low return</v>
      </c>
      <c r="L11" s="41" t="n">
        <f aca="false">IF(AND($E11&gt;0,$F11&gt;=2),$J11,-999)</f>
        <v>0.0318316934919807</v>
      </c>
      <c r="M11" s="42" t="str">
        <f aca="false">IF($F11&lt;2,"",REPT("|",ROUND(MAX($J11,0)*20,0)))</f>
        <v>|</v>
      </c>
      <c r="N11" s="12" t="s">
        <v>47</v>
      </c>
      <c r="O11" s="12" t="n">
        <v>6</v>
      </c>
      <c r="P11" s="12" t="s">
        <v>35</v>
      </c>
    </row>
    <row r="12" customFormat="false" ht="15" hidden="false" customHeight="false" outlineLevel="0" collapsed="false">
      <c r="B12" s="35" t="s">
        <v>138</v>
      </c>
      <c r="C12" s="37" t="n">
        <f aca="false">INDEX(Leaderboard!$E$5:$K$5,MATCH($N12,Leaderboard!$E$4:$K$4,0))</f>
        <v>25</v>
      </c>
      <c r="D12" s="34" t="n">
        <f aca="false">$O12+COUNTIFS(Submissions!$C$5:$C$44,"NeoBerlin",Submissions!$E$5:$E$44,$P12)</f>
        <v>7</v>
      </c>
      <c r="E12" s="34" t="n">
        <f aca="false">MAX(0,8-$D12)</f>
        <v>1</v>
      </c>
      <c r="F12" s="10" t="n">
        <v>6</v>
      </c>
      <c r="G12" s="10" t="n">
        <v>22.5</v>
      </c>
      <c r="H12" s="10" t="n">
        <v>3.3</v>
      </c>
      <c r="I12" s="38" t="n">
        <f aca="false">IF($F12&lt;2,"n/a",1-NORMDIST($C12,$G12,$H12,TRUE()))</f>
        <v>0.224352498756818</v>
      </c>
      <c r="J12" s="39" t="n">
        <f aca="false">IF($F12&lt;2,"insufficient history",$C12*NORMDIST($C12,$G12,$H12,TRUE())+$G12*(1-NORMDIST($C12,$G12,$H12,TRUE()))+$H12*$H12*NORMDIST($C12,$G12,$H12,FALSE())-$C12)</f>
        <v>0.427213607902583</v>
      </c>
      <c r="K12" s="40" t="str">
        <f aca="false">IF($F12&lt;2,"need &gt;=2 scores",IF($E12=0,"no attempts left",IF($J12&gt;=0.5,"SHOOT — best use of an attempt",IF($J12&gt;=0.15,"worthwhile","low return"))))</f>
        <v>worthwhile</v>
      </c>
      <c r="L12" s="41" t="n">
        <f aca="false">IF(AND($E12&gt;0,$F12&gt;=2),$J12,-999)</f>
        <v>0.427213607902583</v>
      </c>
      <c r="M12" s="42" t="str">
        <f aca="false">IF($F12&lt;2,"",REPT("|",ROUND(MAX($J12,0)*20,0)))</f>
        <v>|||||||||</v>
      </c>
      <c r="N12" s="12" t="s">
        <v>48</v>
      </c>
      <c r="O12" s="12" t="n">
        <v>6</v>
      </c>
      <c r="P12" s="12" t="s">
        <v>36</v>
      </c>
    </row>
    <row r="13" customFormat="false" ht="15" hidden="false" customHeight="false" outlineLevel="0" collapsed="false">
      <c r="B13" s="32" t="s">
        <v>139</v>
      </c>
      <c r="F13" s="33" t="str">
        <f aca="false">IF(SUMPRODUCT(--($D$6:$D$12&gt;8))&gt;0,"OVER CAP - more rows logged than the 8 attempts an event allows",IF(SUMPRODUCT(--(($D$6:$D$12+$E$6:$E$12)&lt;&gt;8))=0,"OK - all 7 rows sum to 8","MISMATCH - check the prior figures"))</f>
        <v>OK - all 7 rows sum to 8</v>
      </c>
    </row>
    <row r="14" customFormat="false" ht="15" hidden="false" customHeight="false" outlineLevel="0" collapsed="false">
      <c r="B14" s="20" t="s">
        <v>140</v>
      </c>
      <c r="D14" s="43" t="str">
        <f aca="false">INDEX($B$6:$B$12,MATCH(MAX($L$6:$L$12),$L$6:$L$12,0))</f>
        <v>Mindsheets Masterpiece</v>
      </c>
    </row>
    <row r="15" customFormat="false" ht="15" hidden="false" customHeight="false" outlineLevel="0" collapsed="false">
      <c r="B15" s="44" t="s">
        <v>141</v>
      </c>
      <c r="C15" s="44"/>
      <c r="D15" s="44"/>
      <c r="E15" s="44"/>
      <c r="F15" s="44"/>
      <c r="G15" s="44"/>
      <c r="H15" s="44"/>
      <c r="I15" s="44"/>
      <c r="J15" s="44"/>
    </row>
  </sheetData>
  <mergeCells count="1">
    <mergeCell ref="B15:J15"/>
  </mergeCells>
  <conditionalFormatting sqref="F13">
    <cfRule type="expression" priority="2" aboveAverage="0" equalAverage="0" bottom="0" percent="0" rank="0" text="" dxfId="2">
      <formula>LEFT($F$13,2)="OK"</formula>
    </cfRule>
    <cfRule type="expression" priority="3" aboveAverage="0" equalAverage="0" bottom="0" percent="0" rank="0" text="" dxfId="3">
      <formula>LEFT($F$13,2)&lt;&gt;"OK"</formula>
    </cfRule>
  </conditionalFormatting>
  <conditionalFormatting sqref="B6:K12">
    <cfRule type="expression" priority="4" aboveAverage="0" equalAverage="0" bottom="0" percent="0" rank="0" text="" dxfId="4">
      <formula>$E6=0</formula>
    </cfRule>
  </conditionalFormatting>
  <conditionalFormatting sqref="J6:J12">
    <cfRule type="colorScale" priority="5">
      <colorScale>
        <cfvo type="min" val="0"/>
        <cfvo type="max" val="0"/>
        <color rgb="FFF8D7DA"/>
        <color rgb="FFC9E7C4"/>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2026-07-28T18:55:42Z</dcterms:created>
  <dc:creator>openpyxl</dc:creator>
  <dc:description/>
  <dc:language>de-DE</dc:language>
  <cp:lastModifiedBy/>
  <dcterms:modified xsi:type="dcterms:W3CDTF">2026-07-28T18:55:42Z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