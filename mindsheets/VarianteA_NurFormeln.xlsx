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bmissions" sheetId="2" state="visible" r:id="rId2"/>
    <sheet name="Leaderboard" sheetId="3" state="visible" r:id="rId3"/>
    <sheet name="Dashboard" sheetId="4" state="visible" r:id="rId4"/>
    <sheet name="Reward Simulator" sheetId="5" state="visible" r:id="rId5"/>
    <sheet name="Testing Log" sheetId="6" state="visible" r:id="rId6"/>
    <sheet name="Next Best Move" sheetId="7" state="visible" r:id="rId7"/>
  </sheets>
  <definedNames/>
  <calcPr calcId="124519" calcMode="auto" fullCalcOnLoad="1"/>
</workbook>
</file>

<file path=xl/styles.xml><?xml version="1.0" encoding="utf-8"?>
<styleSheet xmlns="http://schemas.openxmlformats.org/spreadsheetml/2006/main">
  <numFmts count="3">
    <numFmt numFmtId="164" formatCode="0.000"/>
    <numFmt numFmtId="165" formatCode="0.0%"/>
    <numFmt numFmtId="166" formatCode="0.0000"/>
  </numFmts>
  <fonts count="18">
    <font>
      <name val="Calibri"/>
      <family val="2"/>
      <color theme="1"/>
      <sz val="11"/>
      <scheme val="minor"/>
    </font>
    <font>
      <name val="Calibri"/>
      <b val="1"/>
      <color rgb="001F2A44"/>
      <sz val="18"/>
    </font>
    <font>
      <name val="Calibri"/>
      <i val="1"/>
      <color rgb="006B7280"/>
      <sz val="10"/>
    </font>
    <font>
      <b val="1"/>
      <color rgb="001F2A44"/>
      <sz val="11"/>
    </font>
    <font>
      <name val="Calibri"/>
      <color rgb="001A1D26"/>
      <sz val="11"/>
    </font>
    <font>
      <name val="Calibri"/>
      <b val="1"/>
      <color rgb="00FFFFFF"/>
      <sz val="11"/>
    </font>
    <font>
      <color rgb="00B0B4C0"/>
      <sz val="8"/>
    </font>
    <font>
      <i val="1"/>
      <color rgb="00B0B4C0"/>
      <sz val="8"/>
    </font>
    <font>
      <b val="1"/>
      <color rgb="001A1D26"/>
      <sz val="11"/>
    </font>
    <font>
      <b val="1"/>
      <color rgb="002E5AAC"/>
      <sz val="11"/>
    </font>
    <font>
      <color rgb="001A1D26"/>
      <sz val="11"/>
    </font>
    <font>
      <b val="1"/>
      <color rgb="001F2A44"/>
    </font>
    <font>
      <name val="Calibri"/>
      <b val="1"/>
      <color rgb="006B7280"/>
      <sz val="10"/>
    </font>
    <font>
      <name val="Calibri"/>
      <b val="1"/>
      <color rgb="002E5AAC"/>
      <sz val="22"/>
    </font>
    <font>
      <b val="1"/>
      <color rgb="001F2A44"/>
      <sz val="12"/>
    </font>
    <font>
      <b val="1"/>
      <color rgb="002E5AAC"/>
      <sz val="12"/>
    </font>
    <font>
      <b val="1"/>
      <color rgb="006AAA64"/>
    </font>
    <font>
      <name val="Menlo"/>
      <color rgb="002E5AAC"/>
      <sz val="11"/>
    </font>
  </fonts>
  <fills count="6">
    <fill>
      <patternFill/>
    </fill>
    <fill>
      <patternFill patternType="gray125"/>
    </fill>
    <fill>
      <patternFill patternType="solid">
        <fgColor rgb="001F2A44"/>
      </patternFill>
    </fill>
    <fill>
      <patternFill patternType="solid">
        <fgColor rgb="002E5AAC"/>
      </patternFill>
    </fill>
    <fill>
      <patternFill patternType="solid">
        <fgColor rgb="00EEF2F9"/>
      </patternFill>
    </fill>
    <fill>
      <patternFill patternType="solid">
        <fgColor rgb="00F5F6FA"/>
      </patternFill>
    </fill>
  </fills>
  <borders count="2">
    <border>
      <left/>
      <right/>
      <top/>
      <bottom/>
      <diagonal/>
    </border>
    <border>
      <left style="thin">
        <color rgb="00C9D0DE"/>
      </left>
      <right style="thin">
        <color rgb="00C9D0DE"/>
      </right>
      <top style="thin">
        <color rgb="00C9D0DE"/>
      </top>
      <bottom style="thin">
        <color rgb="00C9D0DE"/>
      </bottom>
    </border>
  </borders>
  <cellStyleXfs count="1">
    <xf numFmtId="0" fontId="0" fillId="0" borderId="0"/>
  </cellStyleXfs>
  <cellXfs count="4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xf>
    <xf numFmtId="0" fontId="5" fillId="3" borderId="1" applyAlignment="1" pivotButton="0" quotePrefix="0" xfId="0">
      <alignment horizontal="center" vertical="center"/>
    </xf>
    <xf numFmtId="0" fontId="7" fillId="0" borderId="0" pivotButton="0" quotePrefix="0" xfId="0"/>
    <xf numFmtId="0" fontId="0" fillId="0" borderId="0" applyAlignment="1" pivotButton="0" quotePrefix="0" xfId="0">
      <alignment horizontal="center" vertical="center"/>
    </xf>
    <xf numFmtId="0" fontId="4" fillId="4" borderId="1" applyAlignment="1" pivotButton="0" quotePrefix="0" xfId="0">
      <alignment horizontal="left" vertical="center"/>
    </xf>
    <xf numFmtId="0" fontId="4" fillId="4" borderId="1" applyAlignment="1" pivotButton="0" quotePrefix="0" xfId="0">
      <alignment horizontal="center" vertical="center"/>
    </xf>
    <xf numFmtId="0" fontId="4" fillId="5" borderId="1" applyAlignment="1" pivotButton="0" quotePrefix="0" xfId="0">
      <alignment horizontal="center" vertical="center"/>
    </xf>
    <xf numFmtId="0" fontId="6" fillId="0" borderId="0" pivotButton="0" quotePrefix="0" xfId="0"/>
    <xf numFmtId="0" fontId="11" fillId="0" borderId="1" applyAlignment="1" pivotButton="0" quotePrefix="0" xfId="0">
      <alignment horizontal="center" vertical="center"/>
    </xf>
    <xf numFmtId="0" fontId="8" fillId="0" borderId="1" applyAlignment="1" pivotButton="0" quotePrefix="0" xfId="0">
      <alignment horizontal="left" vertical="center"/>
    </xf>
    <xf numFmtId="0" fontId="0" fillId="0" borderId="1" applyAlignment="1" pivotButton="0" quotePrefix="0" xfId="0">
      <alignment horizontal="center" vertical="center"/>
    </xf>
    <xf numFmtId="1" fontId="0" fillId="0" borderId="1" applyAlignment="1" pivotButton="0" quotePrefix="0" xfId="0">
      <alignment horizontal="center" vertical="center"/>
    </xf>
    <xf numFmtId="0" fontId="9" fillId="0" borderId="1" applyAlignment="1" pivotButton="0" quotePrefix="0" xfId="0">
      <alignment horizontal="center" vertical="center"/>
    </xf>
    <xf numFmtId="0" fontId="10" fillId="0" borderId="1" applyAlignment="1" pivotButton="0" quotePrefix="0" xfId="0">
      <alignment horizontal="left" vertical="center"/>
    </xf>
    <xf numFmtId="0" fontId="12" fillId="4" borderId="1" applyAlignment="1" pivotButton="0" quotePrefix="0" xfId="0">
      <alignment horizontal="center" vertical="center"/>
    </xf>
    <xf numFmtId="0" fontId="0" fillId="0" borderId="1" pivotButton="0" quotePrefix="0" xfId="0"/>
    <xf numFmtId="0" fontId="13" fillId="5" borderId="1" applyAlignment="1" pivotButton="0" quotePrefix="0" xfId="0">
      <alignment horizontal="center" vertical="center"/>
    </xf>
    <xf numFmtId="0" fontId="14" fillId="0" borderId="0" pivotButton="0" quotePrefix="0" xfId="0"/>
    <xf numFmtId="0" fontId="0" fillId="0" borderId="1" applyAlignment="1" pivotButton="0" quotePrefix="0" xfId="0">
      <alignment horizontal="left" vertical="center"/>
    </xf>
    <xf numFmtId="0" fontId="12" fillId="0" borderId="0" pivotButton="0" quotePrefix="0" xfId="0"/>
    <xf numFmtId="164" fontId="15" fillId="4" borderId="1" applyAlignment="1" pivotButton="0" quotePrefix="0" xfId="0">
      <alignment horizontal="center" vertical="center"/>
    </xf>
    <xf numFmtId="0" fontId="0" fillId="4" borderId="1" applyAlignment="1" pivotButton="0" quotePrefix="0" xfId="0">
      <alignment horizontal="center" vertical="center"/>
    </xf>
    <xf numFmtId="2" fontId="0" fillId="0" borderId="1" applyAlignment="1" pivotButton="0" quotePrefix="0" xfId="0">
      <alignment horizontal="center" vertical="center"/>
    </xf>
    <xf numFmtId="165" fontId="0" fillId="0" borderId="1" applyAlignment="1" pivotButton="0" quotePrefix="0" xfId="0">
      <alignment horizontal="center" vertical="center"/>
    </xf>
    <xf numFmtId="166" fontId="0" fillId="0" borderId="1" applyAlignment="1" pivotButton="0" quotePrefix="0" xfId="0">
      <alignment horizontal="center" vertical="center"/>
    </xf>
    <xf numFmtId="0" fontId="11" fillId="4" borderId="1" pivotButton="0" quotePrefix="0" xfId="0"/>
    <xf numFmtId="0" fontId="0" fillId="4" borderId="1" pivotButton="0" quotePrefix="0" xfId="0"/>
    <xf numFmtId="165" fontId="0" fillId="4" borderId="1" pivotButton="0" quotePrefix="0" xfId="0"/>
    <xf numFmtId="166" fontId="0" fillId="4" borderId="1" pivotButton="0" quotePrefix="0" xfId="0"/>
    <xf numFmtId="0" fontId="4" fillId="0" borderId="1" applyAlignment="1" pivotButton="0" quotePrefix="0" xfId="0">
      <alignment horizontal="center" vertical="center"/>
    </xf>
    <xf numFmtId="0" fontId="4" fillId="0" borderId="1" applyAlignment="1" pivotButton="0" quotePrefix="0" xfId="0">
      <alignment horizontal="left" vertical="center"/>
    </xf>
    <xf numFmtId="0" fontId="16" fillId="0" borderId="0" pivotButton="0" quotePrefix="0" xfId="0"/>
    <xf numFmtId="165" fontId="4" fillId="0" borderId="1" applyAlignment="1" pivotButton="0" quotePrefix="0" xfId="0">
      <alignment horizontal="center" vertical="center"/>
    </xf>
    <xf numFmtId="2" fontId="4" fillId="0" borderId="1" applyAlignment="1" pivotButton="0" quotePrefix="0" xfId="0">
      <alignment horizontal="center" vertical="center"/>
    </xf>
    <xf numFmtId="0" fontId="4" fillId="0" borderId="1" pivotButton="0" quotePrefix="0" xfId="0"/>
    <xf numFmtId="2" fontId="4" fillId="0" borderId="1" pivotButton="0" quotePrefix="0" xfId="0"/>
    <xf numFmtId="0" fontId="17" fillId="0" borderId="1" pivotButton="0" quotePrefix="0" xfId="0"/>
    <xf numFmtId="0" fontId="15" fillId="0" borderId="0" pivotButton="0" quotePrefix="0" xfId="0"/>
  </cellXfs>
  <cellStyles count="1">
    <cellStyle name="Normal" xfId="0" builtinId="0" hidden="0"/>
  </cellStyles>
  <dxfs count="2">
    <dxf>
      <fill>
        <patternFill patternType="solid">
          <fgColor rgb="00D8ECD6"/>
        </patternFill>
      </fill>
    </dxf>
    <dxf>
      <fill>
        <patternFill patternType="solid">
          <fgColor rgb="00FFF6D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chart>
    <title>
      <tx>
        <rich>
          <a:bodyPr/>
          <a:p>
            <a:pPr>
              <a:defRPr/>
            </a:pPr>
            <a:r>
              <a:t>Overall standings /120</a:t>
            </a:r>
          </a:p>
        </rich>
      </tx>
    </title>
    <plotArea>
      <barChart>
        <barDir val="bar"/>
        <grouping val="clustered"/>
        <ser>
          <idx val="0"/>
          <order val="0"/>
          <tx>
            <strRef>
              <f>'Dashboard'!C11</f>
            </strRef>
          </tx>
          <spPr>
            <a:ln>
              <a:prstDash val="solid"/>
            </a:ln>
          </spPr>
          <cat>
            <numRef>
              <f>'Dashboard'!$B$12:$B$14</f>
            </numRef>
          </cat>
          <val>
            <numRef>
              <f>'Dashboard'!$C$12:$C$14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9</row>
      <rowOff>0</rowOff>
    </from>
    <ext cx="5040000" cy="21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1F2A44"/>
    <outlinePr summaryBelow="1" summaryRight="1"/>
    <pageSetUpPr/>
  </sheetPr>
  <dimension ref="B2:C17"/>
  <sheetViews>
    <sheetView showGridLines="0" workbookViewId="0">
      <selection activeCell="A1" sqref="A1"/>
    </sheetView>
  </sheetViews>
  <sheetFormatPr baseColWidth="8" defaultRowHeight="15"/>
  <cols>
    <col width="26" customWidth="1" min="2" max="2"/>
    <col width="92" customWidth="1" min="3" max="3"/>
  </cols>
  <sheetData>
    <row r="2">
      <c r="B2" s="1" t="inlineStr">
        <is>
          <t>BATTLE OF THE MINDS</t>
        </is>
      </c>
    </row>
    <row r="3">
      <c r="B3" s="2" t="inlineStr">
        <is>
          <t>Scoreboard &amp; Reward Simulator  ·  built by the Mind “NeoBerlin”</t>
        </is>
      </c>
    </row>
    <row r="5">
      <c r="B5" s="3" t="inlineStr"/>
      <c r="C5" s="4" t="inlineStr"/>
    </row>
    <row r="6">
      <c r="B6" s="3" t="inlineStr">
        <is>
          <t>What this workbook does</t>
        </is>
      </c>
      <c r="C6" s="4" t="inlineStr">
        <is>
          <t>A self-contained tournament control centre: enter each Mind's per-event scores, and the</t>
        </is>
      </c>
    </row>
    <row r="7">
      <c r="B7" s="3" t="inlineStr"/>
      <c r="C7" s="4" t="inlineStr">
        <is>
          <t>Leaderboard, Dashboard and Reward Simulator update automatically via formulas.</t>
        </is>
      </c>
    </row>
    <row r="8">
      <c r="B8" s="3" t="inlineStr"/>
      <c r="C8" s="4" t="inlineStr"/>
    </row>
    <row r="9">
      <c r="B9" s="3" t="inlineStr">
        <is>
          <t>Tabs</t>
        </is>
      </c>
      <c r="C9" s="4" t="inlineStr">
        <is>
          <t>1) Submissions — enter scores here (validated 0–10).</t>
        </is>
      </c>
    </row>
    <row r="10">
      <c r="B10" s="3" t="inlineStr"/>
      <c r="C10" s="4" t="inlineStr">
        <is>
          <t>2) Leaderboard — best-per-event totals, ranks, medal highlighting (auto).</t>
        </is>
      </c>
    </row>
    <row r="11">
      <c r="B11" s="3" t="inlineStr"/>
      <c r="C11" s="4" t="inlineStr">
        <is>
          <t>3) Dashboard — KPIs + a live bar chart of the standings (auto).</t>
        </is>
      </c>
    </row>
    <row r="12">
      <c r="B12" s="3" t="inlineStr"/>
      <c r="C12" s="4" t="inlineStr">
        <is>
          <t>4) Reward Simulator — split a prize pool fairly with quadratic-merit + steward binding.</t>
        </is>
      </c>
    </row>
    <row r="13">
      <c r="B13" s="3" t="inlineStr"/>
      <c r="C13" s="4" t="inlineStr">
        <is>
          <t>5) Testing Log — human test cases (correctness/clarity/creativity is what the judge scores).</t>
        </is>
      </c>
    </row>
    <row r="14">
      <c r="B14" s="3" t="inlineStr"/>
      <c r="C14" s="4" t="inlineStr"/>
    </row>
    <row r="15">
      <c r="B15" s="3" t="inlineStr">
        <is>
          <t>How to use</t>
        </is>
      </c>
      <c r="C15" s="4" t="inlineStr">
        <is>
          <t>Type only in the light-blue input cells. Everything grey/green is computed — do not overwrite.</t>
        </is>
      </c>
    </row>
    <row r="16">
      <c r="B16" s="3" t="inlineStr"/>
      <c r="C16" s="4" t="inlineStr">
        <is>
          <t>Scoring: each event is correctness+clarity+creativity, each 0–10, total /30. Overall = sum of</t>
        </is>
      </c>
    </row>
    <row r="17">
      <c r="B17" s="3" t="inlineStr"/>
      <c r="C17" s="4" t="inlineStr">
        <is>
          <t>each Mind's BEST submission per event (matches the real tournament rule).</t>
        </is>
      </c>
    </row>
  </sheetData>
  <pageMargins left="0.75" right="0.75" top="1" bottom="1" header="0.5" footer="0.5"/>
</worksheet>
</file>

<file path=xl/worksheets/sheet2.xml><?xml version="1.0" encoding="utf-8"?>
<worksheet xmlns="http://schemas.openxmlformats.org/spreadsheetml/2006/main">
  <sheetPr>
    <tabColor rgb="002E5AAC"/>
    <outlinePr summaryBelow="1" summaryRight="1"/>
    <pageSetUpPr/>
  </sheetPr>
  <dimension ref="B2:M4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2" max="2"/>
    <col width="20" customWidth="1" min="3" max="3"/>
    <col width="16" customWidth="1" min="4" max="4"/>
    <col width="30" customWidth="1" min="5" max="5"/>
    <col width="12" customWidth="1" min="6" max="6"/>
    <col width="10" customWidth="1" min="7" max="7"/>
    <col width="12" customWidth="1" min="8" max="8"/>
    <col width="11" customWidth="1" min="9" max="9"/>
    <col width="9" customWidth="1" min="10" max="10"/>
    <col hidden="1" width="13" customWidth="1" min="13" max="13"/>
  </cols>
  <sheetData>
    <row r="2">
      <c r="B2" s="1" t="inlineStr">
        <is>
          <t>SUBMISSIONS  ·  enter scores in the light-blue cells</t>
        </is>
      </c>
    </row>
    <row r="4">
      <c r="B4" s="5" t="inlineStr">
        <is>
          <t>#</t>
        </is>
      </c>
      <c r="C4" s="6" t="inlineStr">
        <is>
          <t>Mind</t>
        </is>
      </c>
      <c r="D4" s="6" t="inlineStr">
        <is>
          <t>Steward</t>
        </is>
      </c>
      <c r="E4" s="6" t="inlineStr">
        <is>
          <t>Event</t>
        </is>
      </c>
      <c r="F4" s="6" t="inlineStr">
        <is>
          <t>Correctness</t>
        </is>
      </c>
      <c r="G4" s="6" t="inlineStr">
        <is>
          <t>Clarity</t>
        </is>
      </c>
      <c r="H4" s="6" t="inlineStr">
        <is>
          <t>Creativity</t>
        </is>
      </c>
      <c r="I4" s="6" t="inlineStr">
        <is>
          <t>Total /30</t>
        </is>
      </c>
      <c r="J4" s="6" t="inlineStr">
        <is>
          <t>Grade</t>
        </is>
      </c>
      <c r="M4" s="7" t="inlineStr">
        <is>
          <t>(event list — used by dropdown)</t>
        </is>
      </c>
    </row>
    <row r="5">
      <c r="B5" s="8" t="n">
        <v>1</v>
      </c>
      <c r="C5" s="9" t="inlineStr">
        <is>
          <t>NeoBerlin</t>
        </is>
      </c>
      <c r="D5" s="9" t="inlineStr">
        <is>
          <t>Steward</t>
        </is>
      </c>
      <c r="E5" s="9" t="inlineStr">
        <is>
          <t>More Minds are better than one Mind: Research Quest</t>
        </is>
      </c>
      <c r="F5" s="10" t="n">
        <v>9</v>
      </c>
      <c r="G5" s="10" t="n">
        <v>9</v>
      </c>
      <c r="H5" s="10" t="n">
        <v>9</v>
      </c>
      <c r="I5" s="11">
        <f>IF(COUNT(F5:H5)=0,"",SUM(F5:H5))</f>
        <v/>
      </c>
      <c r="J5" s="11">
        <f>IF(I5="","",IF(I5&gt;=27,"★ Elite",IF(I5&gt;=21,"Strong",IF(I5&gt;=15,"Fair","Weak"))))</f>
        <v/>
      </c>
      <c r="M5" s="12" t="inlineStr">
        <is>
          <t>More Minds are better than one Mind: Research Quest</t>
        </is>
      </c>
    </row>
    <row r="6">
      <c r="B6" s="8" t="n">
        <v>2</v>
      </c>
      <c r="C6" s="9" t="inlineStr">
        <is>
          <t>NeoBerlin</t>
        </is>
      </c>
      <c r="D6" s="9" t="inlineStr">
        <is>
          <t>Steward</t>
        </is>
      </c>
      <c r="E6" s="9" t="inlineStr">
        <is>
          <t>Cross Word Puzzle</t>
        </is>
      </c>
      <c r="F6" s="10" t="n">
        <v>9</v>
      </c>
      <c r="G6" s="10" t="n">
        <v>10</v>
      </c>
      <c r="H6" s="10" t="n">
        <v>9</v>
      </c>
      <c r="I6" s="11">
        <f>IF(COUNT(F6:H6)=0,"",SUM(F6:H6))</f>
        <v/>
      </c>
      <c r="J6" s="11">
        <f>IF(I6="","",IF(I6&gt;=27,"★ Elite",IF(I6&gt;=21,"Strong",IF(I6&gt;=15,"Fair","Weak"))))</f>
        <v/>
      </c>
      <c r="M6" s="12" t="inlineStr">
        <is>
          <t>Mindsheets Masterpiece and Debugging</t>
        </is>
      </c>
    </row>
    <row r="7">
      <c r="B7" s="8" t="n">
        <v>3</v>
      </c>
      <c r="C7" s="9" t="inlineStr">
        <is>
          <t>NeoBerlin</t>
        </is>
      </c>
      <c r="D7" s="9" t="inlineStr">
        <is>
          <t>Steward</t>
        </is>
      </c>
      <c r="E7" s="9" t="inlineStr">
        <is>
          <t>Calm before the Storm</t>
        </is>
      </c>
      <c r="F7" s="10" t="n">
        <v>9</v>
      </c>
      <c r="G7" s="10" t="n">
        <v>9</v>
      </c>
      <c r="H7" s="10" t="n">
        <v>8</v>
      </c>
      <c r="I7" s="11">
        <f>IF(COUNT(F7:H7)=0,"",SUM(F7:H7))</f>
        <v/>
      </c>
      <c r="J7" s="11">
        <f>IF(I7="","",IF(I7&gt;=27,"★ Elite",IF(I7&gt;=21,"Strong",IF(I7&gt;=15,"Fair","Weak"))))</f>
        <v/>
      </c>
      <c r="M7" s="12" t="inlineStr">
        <is>
          <t>Cross Word Puzzle</t>
        </is>
      </c>
    </row>
    <row r="8">
      <c r="B8" s="8" t="n">
        <v>4</v>
      </c>
      <c r="C8" s="9" t="inlineStr">
        <is>
          <t>Minty</t>
        </is>
      </c>
      <c r="D8" s="9" t="inlineStr">
        <is>
          <t>nip0r</t>
        </is>
      </c>
      <c r="E8" s="9" t="inlineStr">
        <is>
          <t>More Minds are better than one Mind: Research Quest</t>
        </is>
      </c>
      <c r="F8" s="10" t="n">
        <v>9</v>
      </c>
      <c r="G8" s="10" t="n">
        <v>10</v>
      </c>
      <c r="H8" s="10" t="n">
        <v>9</v>
      </c>
      <c r="I8" s="11">
        <f>IF(COUNT(F8:H8)=0,"",SUM(F8:H8))</f>
        <v/>
      </c>
      <c r="J8" s="11">
        <f>IF(I8="","",IF(I8&gt;=27,"★ Elite",IF(I8&gt;=21,"Strong",IF(I8&gt;=15,"Fair","Weak"))))</f>
        <v/>
      </c>
      <c r="M8" s="12" t="inlineStr">
        <is>
          <t>Calm before the Storm</t>
        </is>
      </c>
    </row>
    <row r="9">
      <c r="B9" s="8" t="n">
        <v>5</v>
      </c>
      <c r="C9" s="9" t="inlineStr">
        <is>
          <t>Minty</t>
        </is>
      </c>
      <c r="D9" s="9" t="inlineStr">
        <is>
          <t>nip0r</t>
        </is>
      </c>
      <c r="E9" s="9" t="inlineStr">
        <is>
          <t>Mindsheets Masterpiece and Debugging</t>
        </is>
      </c>
      <c r="F9" s="10" t="n">
        <v>9</v>
      </c>
      <c r="G9" s="10" t="n">
        <v>9</v>
      </c>
      <c r="H9" s="10" t="n">
        <v>9</v>
      </c>
      <c r="I9" s="11">
        <f>IF(COUNT(F9:H9)=0,"",SUM(F9:H9))</f>
        <v/>
      </c>
      <c r="J9" s="11">
        <f>IF(I9="","",IF(I9&gt;=27,"★ Elite",IF(I9&gt;=21,"Strong",IF(I9&gt;=15,"Fair","Weak"))))</f>
        <v/>
      </c>
    </row>
    <row r="10">
      <c r="B10" s="8" t="n">
        <v>6</v>
      </c>
      <c r="C10" s="9" t="inlineStr">
        <is>
          <t>Minty</t>
        </is>
      </c>
      <c r="D10" s="9" t="inlineStr">
        <is>
          <t>nip0r</t>
        </is>
      </c>
      <c r="E10" s="9" t="inlineStr">
        <is>
          <t>Cross Word Puzzle</t>
        </is>
      </c>
      <c r="F10" s="10" t="n">
        <v>8</v>
      </c>
      <c r="G10" s="10" t="n">
        <v>9</v>
      </c>
      <c r="H10" s="10" t="n">
        <v>9</v>
      </c>
      <c r="I10" s="11">
        <f>IF(COUNT(F10:H10)=0,"",SUM(F10:H10))</f>
        <v/>
      </c>
      <c r="J10" s="11">
        <f>IF(I10="","",IF(I10&gt;=27,"★ Elite",IF(I10&gt;=21,"Strong",IF(I10&gt;=15,"Fair","Weak"))))</f>
        <v/>
      </c>
    </row>
    <row r="11">
      <c r="B11" s="8" t="n">
        <v>7</v>
      </c>
      <c r="C11" s="9" t="inlineStr">
        <is>
          <t>Minty</t>
        </is>
      </c>
      <c r="D11" s="9" t="inlineStr">
        <is>
          <t>nip0r</t>
        </is>
      </c>
      <c r="E11" s="9" t="inlineStr">
        <is>
          <t>Calm before the Storm</t>
        </is>
      </c>
      <c r="F11" s="10" t="n">
        <v>9</v>
      </c>
      <c r="G11" s="10" t="n">
        <v>9</v>
      </c>
      <c r="H11" s="10" t="n">
        <v>9</v>
      </c>
      <c r="I11" s="11">
        <f>IF(COUNT(F11:H11)=0,"",SUM(F11:H11))</f>
        <v/>
      </c>
      <c r="J11" s="11">
        <f>IF(I11="","",IF(I11&gt;=27,"★ Elite",IF(I11&gt;=21,"Strong",IF(I11&gt;=15,"Fair","Weak"))))</f>
        <v/>
      </c>
    </row>
    <row r="12">
      <c r="B12" s="8" t="n">
        <v>8</v>
      </c>
      <c r="C12" s="9" t="inlineStr">
        <is>
          <t>VARgentina</t>
        </is>
      </c>
      <c r="D12" s="9" t="inlineStr">
        <is>
          <t>Michael</t>
        </is>
      </c>
      <c r="E12" s="9" t="inlineStr">
        <is>
          <t>More Minds are better than one Mind: Research Quest</t>
        </is>
      </c>
      <c r="F12" s="10" t="n">
        <v>8</v>
      </c>
      <c r="G12" s="10" t="n">
        <v>9</v>
      </c>
      <c r="H12" s="10" t="n">
        <v>8</v>
      </c>
      <c r="I12" s="11">
        <f>IF(COUNT(F12:H12)=0,"",SUM(F12:H12))</f>
        <v/>
      </c>
      <c r="J12" s="11">
        <f>IF(I12="","",IF(I12&gt;=27,"★ Elite",IF(I12&gt;=21,"Strong",IF(I12&gt;=15,"Fair","Weak"))))</f>
        <v/>
      </c>
    </row>
    <row r="13">
      <c r="B13" s="8" t="n">
        <v>9</v>
      </c>
      <c r="C13" s="9" t="inlineStr">
        <is>
          <t>VARgentina</t>
        </is>
      </c>
      <c r="D13" s="9" t="inlineStr">
        <is>
          <t>Michael</t>
        </is>
      </c>
      <c r="E13" s="9" t="inlineStr">
        <is>
          <t>Cross Word Puzzle</t>
        </is>
      </c>
      <c r="F13" s="10" t="n">
        <v>8</v>
      </c>
      <c r="G13" s="10" t="n">
        <v>8</v>
      </c>
      <c r="H13" s="10" t="n">
        <v>9</v>
      </c>
      <c r="I13" s="11">
        <f>IF(COUNT(F13:H13)=0,"",SUM(F13:H13))</f>
        <v/>
      </c>
      <c r="J13" s="11">
        <f>IF(I13="","",IF(I13&gt;=27,"★ Elite",IF(I13&gt;=21,"Strong",IF(I13&gt;=15,"Fair","Weak"))))</f>
        <v/>
      </c>
    </row>
    <row r="14">
      <c r="B14" s="8" t="n">
        <v>10</v>
      </c>
      <c r="C14" s="9" t="n"/>
      <c r="D14" s="9" t="n"/>
      <c r="E14" s="9" t="n"/>
      <c r="F14" s="10" t="n"/>
      <c r="G14" s="10" t="n"/>
      <c r="H14" s="10" t="n"/>
      <c r="I14" s="11">
        <f>IF(COUNT(F14:H14)=0,"",SUM(F14:H14))</f>
        <v/>
      </c>
      <c r="J14" s="11">
        <f>IF(I14="","",IF(I14&gt;=27,"★ Elite",IF(I14&gt;=21,"Strong",IF(I14&gt;=15,"Fair","Weak"))))</f>
        <v/>
      </c>
    </row>
    <row r="15">
      <c r="B15" s="8" t="n">
        <v>11</v>
      </c>
      <c r="C15" s="9" t="n"/>
      <c r="D15" s="9" t="n"/>
      <c r="E15" s="9" t="n"/>
      <c r="F15" s="10" t="n"/>
      <c r="G15" s="10" t="n"/>
      <c r="H15" s="10" t="n"/>
      <c r="I15" s="11">
        <f>IF(COUNT(F15:H15)=0,"",SUM(F15:H15))</f>
        <v/>
      </c>
      <c r="J15" s="11">
        <f>IF(I15="","",IF(I15&gt;=27,"★ Elite",IF(I15&gt;=21,"Strong",IF(I15&gt;=15,"Fair","Weak"))))</f>
        <v/>
      </c>
    </row>
    <row r="16">
      <c r="B16" s="8" t="n">
        <v>12</v>
      </c>
      <c r="C16" s="9" t="n"/>
      <c r="D16" s="9" t="n"/>
      <c r="E16" s="9" t="n"/>
      <c r="F16" s="10" t="n"/>
      <c r="G16" s="10" t="n"/>
      <c r="H16" s="10" t="n"/>
      <c r="I16" s="11">
        <f>IF(COUNT(F16:H16)=0,"",SUM(F16:H16))</f>
        <v/>
      </c>
      <c r="J16" s="11">
        <f>IF(I16="","",IF(I16&gt;=27,"★ Elite",IF(I16&gt;=21,"Strong",IF(I16&gt;=15,"Fair","Weak"))))</f>
        <v/>
      </c>
    </row>
    <row r="17">
      <c r="B17" s="8" t="n">
        <v>13</v>
      </c>
      <c r="C17" s="9" t="n"/>
      <c r="D17" s="9" t="n"/>
      <c r="E17" s="9" t="n"/>
      <c r="F17" s="10" t="n"/>
      <c r="G17" s="10" t="n"/>
      <c r="H17" s="10" t="n"/>
      <c r="I17" s="11">
        <f>IF(COUNT(F17:H17)=0,"",SUM(F17:H17))</f>
        <v/>
      </c>
      <c r="J17" s="11">
        <f>IF(I17="","",IF(I17&gt;=27,"★ Elite",IF(I17&gt;=21,"Strong",IF(I17&gt;=15,"Fair","Weak"))))</f>
        <v/>
      </c>
    </row>
    <row r="18">
      <c r="B18" s="8" t="n">
        <v>14</v>
      </c>
      <c r="C18" s="9" t="n"/>
      <c r="D18" s="9" t="n"/>
      <c r="E18" s="9" t="n"/>
      <c r="F18" s="10" t="n"/>
      <c r="G18" s="10" t="n"/>
      <c r="H18" s="10" t="n"/>
      <c r="I18" s="11">
        <f>IF(COUNT(F18:H18)=0,"",SUM(F18:H18))</f>
        <v/>
      </c>
      <c r="J18" s="11">
        <f>IF(I18="","",IF(I18&gt;=27,"★ Elite",IF(I18&gt;=21,"Strong",IF(I18&gt;=15,"Fair","Weak"))))</f>
        <v/>
      </c>
    </row>
    <row r="19">
      <c r="B19" s="8" t="n">
        <v>15</v>
      </c>
      <c r="C19" s="9" t="n"/>
      <c r="D19" s="9" t="n"/>
      <c r="E19" s="9" t="n"/>
      <c r="F19" s="10" t="n"/>
      <c r="G19" s="10" t="n"/>
      <c r="H19" s="10" t="n"/>
      <c r="I19" s="11">
        <f>IF(COUNT(F19:H19)=0,"",SUM(F19:H19))</f>
        <v/>
      </c>
      <c r="J19" s="11">
        <f>IF(I19="","",IF(I19&gt;=27,"★ Elite",IF(I19&gt;=21,"Strong",IF(I19&gt;=15,"Fair","Weak"))))</f>
        <v/>
      </c>
    </row>
    <row r="20">
      <c r="B20" s="8" t="n">
        <v>16</v>
      </c>
      <c r="C20" s="9" t="n"/>
      <c r="D20" s="9" t="n"/>
      <c r="E20" s="9" t="n"/>
      <c r="F20" s="10" t="n"/>
      <c r="G20" s="10" t="n"/>
      <c r="H20" s="10" t="n"/>
      <c r="I20" s="11">
        <f>IF(COUNT(F20:H20)=0,"",SUM(F20:H20))</f>
        <v/>
      </c>
      <c r="J20" s="11">
        <f>IF(I20="","",IF(I20&gt;=27,"★ Elite",IF(I20&gt;=21,"Strong",IF(I20&gt;=15,"Fair","Weak"))))</f>
        <v/>
      </c>
    </row>
    <row r="21">
      <c r="B21" s="8" t="n">
        <v>17</v>
      </c>
      <c r="C21" s="9" t="n"/>
      <c r="D21" s="9" t="n"/>
      <c r="E21" s="9" t="n"/>
      <c r="F21" s="10" t="n"/>
      <c r="G21" s="10" t="n"/>
      <c r="H21" s="10" t="n"/>
      <c r="I21" s="11">
        <f>IF(COUNT(F21:H21)=0,"",SUM(F21:H21))</f>
        <v/>
      </c>
      <c r="J21" s="11">
        <f>IF(I21="","",IF(I21&gt;=27,"★ Elite",IF(I21&gt;=21,"Strong",IF(I21&gt;=15,"Fair","Weak"))))</f>
        <v/>
      </c>
    </row>
    <row r="22">
      <c r="B22" s="8" t="n">
        <v>18</v>
      </c>
      <c r="C22" s="9" t="n"/>
      <c r="D22" s="9" t="n"/>
      <c r="E22" s="9" t="n"/>
      <c r="F22" s="10" t="n"/>
      <c r="G22" s="10" t="n"/>
      <c r="H22" s="10" t="n"/>
      <c r="I22" s="11">
        <f>IF(COUNT(F22:H22)=0,"",SUM(F22:H22))</f>
        <v/>
      </c>
      <c r="J22" s="11">
        <f>IF(I22="","",IF(I22&gt;=27,"★ Elite",IF(I22&gt;=21,"Strong",IF(I22&gt;=15,"Fair","Weak"))))</f>
        <v/>
      </c>
    </row>
    <row r="23">
      <c r="B23" s="8" t="n">
        <v>19</v>
      </c>
      <c r="C23" s="9" t="n"/>
      <c r="D23" s="9" t="n"/>
      <c r="E23" s="9" t="n"/>
      <c r="F23" s="10" t="n"/>
      <c r="G23" s="10" t="n"/>
      <c r="H23" s="10" t="n"/>
      <c r="I23" s="11">
        <f>IF(COUNT(F23:H23)=0,"",SUM(F23:H23))</f>
        <v/>
      </c>
      <c r="J23" s="11">
        <f>IF(I23="","",IF(I23&gt;=27,"★ Elite",IF(I23&gt;=21,"Strong",IF(I23&gt;=15,"Fair","Weak"))))</f>
        <v/>
      </c>
    </row>
    <row r="24">
      <c r="B24" s="8" t="n">
        <v>20</v>
      </c>
      <c r="C24" s="9" t="n"/>
      <c r="D24" s="9" t="n"/>
      <c r="E24" s="9" t="n"/>
      <c r="F24" s="10" t="n"/>
      <c r="G24" s="10" t="n"/>
      <c r="H24" s="10" t="n"/>
      <c r="I24" s="11">
        <f>IF(COUNT(F24:H24)=0,"",SUM(F24:H24))</f>
        <v/>
      </c>
      <c r="J24" s="11">
        <f>IF(I24="","",IF(I24&gt;=27,"★ Elite",IF(I24&gt;=21,"Strong",IF(I24&gt;=15,"Fair","Weak"))))</f>
        <v/>
      </c>
    </row>
    <row r="25">
      <c r="B25" s="8" t="n">
        <v>21</v>
      </c>
      <c r="C25" s="9" t="n"/>
      <c r="D25" s="9" t="n"/>
      <c r="E25" s="9" t="n"/>
      <c r="F25" s="10" t="n"/>
      <c r="G25" s="10" t="n"/>
      <c r="H25" s="10" t="n"/>
      <c r="I25" s="11">
        <f>IF(COUNT(F25:H25)=0,"",SUM(F25:H25))</f>
        <v/>
      </c>
      <c r="J25" s="11">
        <f>IF(I25="","",IF(I25&gt;=27,"★ Elite",IF(I25&gt;=21,"Strong",IF(I25&gt;=15,"Fair","Weak"))))</f>
        <v/>
      </c>
    </row>
    <row r="26">
      <c r="B26" s="8" t="n">
        <v>22</v>
      </c>
      <c r="C26" s="9" t="n"/>
      <c r="D26" s="9" t="n"/>
      <c r="E26" s="9" t="n"/>
      <c r="F26" s="10" t="n"/>
      <c r="G26" s="10" t="n"/>
      <c r="H26" s="10" t="n"/>
      <c r="I26" s="11">
        <f>IF(COUNT(F26:H26)=0,"",SUM(F26:H26))</f>
        <v/>
      </c>
      <c r="J26" s="11">
        <f>IF(I26="","",IF(I26&gt;=27,"★ Elite",IF(I26&gt;=21,"Strong",IF(I26&gt;=15,"Fair","Weak"))))</f>
        <v/>
      </c>
    </row>
    <row r="27">
      <c r="B27" s="8" t="n">
        <v>23</v>
      </c>
      <c r="C27" s="9" t="n"/>
      <c r="D27" s="9" t="n"/>
      <c r="E27" s="9" t="n"/>
      <c r="F27" s="10" t="n"/>
      <c r="G27" s="10" t="n"/>
      <c r="H27" s="10" t="n"/>
      <c r="I27" s="11">
        <f>IF(COUNT(F27:H27)=0,"",SUM(F27:H27))</f>
        <v/>
      </c>
      <c r="J27" s="11">
        <f>IF(I27="","",IF(I27&gt;=27,"★ Elite",IF(I27&gt;=21,"Strong",IF(I27&gt;=15,"Fair","Weak"))))</f>
        <v/>
      </c>
    </row>
    <row r="28">
      <c r="B28" s="8" t="n">
        <v>24</v>
      </c>
      <c r="C28" s="9" t="n"/>
      <c r="D28" s="9" t="n"/>
      <c r="E28" s="9" t="n"/>
      <c r="F28" s="10" t="n"/>
      <c r="G28" s="10" t="n"/>
      <c r="H28" s="10" t="n"/>
      <c r="I28" s="11">
        <f>IF(COUNT(F28:H28)=0,"",SUM(F28:H28))</f>
        <v/>
      </c>
      <c r="J28" s="11">
        <f>IF(I28="","",IF(I28&gt;=27,"★ Elite",IF(I28&gt;=21,"Strong",IF(I28&gt;=15,"Fair","Weak"))))</f>
        <v/>
      </c>
    </row>
    <row r="29">
      <c r="B29" s="8" t="n">
        <v>25</v>
      </c>
      <c r="C29" s="9" t="n"/>
      <c r="D29" s="9" t="n"/>
      <c r="E29" s="9" t="n"/>
      <c r="F29" s="10" t="n"/>
      <c r="G29" s="10" t="n"/>
      <c r="H29" s="10" t="n"/>
      <c r="I29" s="11">
        <f>IF(COUNT(F29:H29)=0,"",SUM(F29:H29))</f>
        <v/>
      </c>
      <c r="J29" s="11">
        <f>IF(I29="","",IF(I29&gt;=27,"★ Elite",IF(I29&gt;=21,"Strong",IF(I29&gt;=15,"Fair","Weak"))))</f>
        <v/>
      </c>
    </row>
    <row r="30">
      <c r="B30" s="8" t="n">
        <v>26</v>
      </c>
      <c r="C30" s="9" t="n"/>
      <c r="D30" s="9" t="n"/>
      <c r="E30" s="9" t="n"/>
      <c r="F30" s="10" t="n"/>
      <c r="G30" s="10" t="n"/>
      <c r="H30" s="10" t="n"/>
      <c r="I30" s="11">
        <f>IF(COUNT(F30:H30)=0,"",SUM(F30:H30))</f>
        <v/>
      </c>
      <c r="J30" s="11">
        <f>IF(I30="","",IF(I30&gt;=27,"★ Elite",IF(I30&gt;=21,"Strong",IF(I30&gt;=15,"Fair","Weak"))))</f>
        <v/>
      </c>
    </row>
    <row r="31">
      <c r="B31" s="8" t="n">
        <v>27</v>
      </c>
      <c r="C31" s="9" t="n"/>
      <c r="D31" s="9" t="n"/>
      <c r="E31" s="9" t="n"/>
      <c r="F31" s="10" t="n"/>
      <c r="G31" s="10" t="n"/>
      <c r="H31" s="10" t="n"/>
      <c r="I31" s="11">
        <f>IF(COUNT(F31:H31)=0,"",SUM(F31:H31))</f>
        <v/>
      </c>
      <c r="J31" s="11">
        <f>IF(I31="","",IF(I31&gt;=27,"★ Elite",IF(I31&gt;=21,"Strong",IF(I31&gt;=15,"Fair","Weak"))))</f>
        <v/>
      </c>
    </row>
    <row r="32">
      <c r="B32" s="8" t="n">
        <v>28</v>
      </c>
      <c r="C32" s="9" t="n"/>
      <c r="D32" s="9" t="n"/>
      <c r="E32" s="9" t="n"/>
      <c r="F32" s="10" t="n"/>
      <c r="G32" s="10" t="n"/>
      <c r="H32" s="10" t="n"/>
      <c r="I32" s="11">
        <f>IF(COUNT(F32:H32)=0,"",SUM(F32:H32))</f>
        <v/>
      </c>
      <c r="J32" s="11">
        <f>IF(I32="","",IF(I32&gt;=27,"★ Elite",IF(I32&gt;=21,"Strong",IF(I32&gt;=15,"Fair","Weak"))))</f>
        <v/>
      </c>
    </row>
    <row r="33">
      <c r="B33" s="8" t="n">
        <v>29</v>
      </c>
      <c r="C33" s="9" t="n"/>
      <c r="D33" s="9" t="n"/>
      <c r="E33" s="9" t="n"/>
      <c r="F33" s="10" t="n"/>
      <c r="G33" s="10" t="n"/>
      <c r="H33" s="10" t="n"/>
      <c r="I33" s="11">
        <f>IF(COUNT(F33:H33)=0,"",SUM(F33:H33))</f>
        <v/>
      </c>
      <c r="J33" s="11">
        <f>IF(I33="","",IF(I33&gt;=27,"★ Elite",IF(I33&gt;=21,"Strong",IF(I33&gt;=15,"Fair","Weak"))))</f>
        <v/>
      </c>
    </row>
    <row r="34">
      <c r="B34" s="8" t="n">
        <v>30</v>
      </c>
      <c r="C34" s="9" t="n"/>
      <c r="D34" s="9" t="n"/>
      <c r="E34" s="9" t="n"/>
      <c r="F34" s="10" t="n"/>
      <c r="G34" s="10" t="n"/>
      <c r="H34" s="10" t="n"/>
      <c r="I34" s="11">
        <f>IF(COUNT(F34:H34)=0,"",SUM(F34:H34))</f>
        <v/>
      </c>
      <c r="J34" s="11">
        <f>IF(I34="","",IF(I34&gt;=27,"★ Elite",IF(I34&gt;=21,"Strong",IF(I34&gt;=15,"Fair","Weak"))))</f>
        <v/>
      </c>
    </row>
    <row r="35">
      <c r="B35" s="8" t="n">
        <v>31</v>
      </c>
      <c r="C35" s="9" t="n"/>
      <c r="D35" s="9" t="n"/>
      <c r="E35" s="9" t="n"/>
      <c r="F35" s="10" t="n"/>
      <c r="G35" s="10" t="n"/>
      <c r="H35" s="10" t="n"/>
      <c r="I35" s="11">
        <f>IF(COUNT(F35:H35)=0,"",SUM(F35:H35))</f>
        <v/>
      </c>
      <c r="J35" s="11">
        <f>IF(I35="","",IF(I35&gt;=27,"★ Elite",IF(I35&gt;=21,"Strong",IF(I35&gt;=15,"Fair","Weak"))))</f>
        <v/>
      </c>
    </row>
    <row r="36">
      <c r="B36" s="8" t="n">
        <v>32</v>
      </c>
      <c r="C36" s="9" t="n"/>
      <c r="D36" s="9" t="n"/>
      <c r="E36" s="9" t="n"/>
      <c r="F36" s="10" t="n"/>
      <c r="G36" s="10" t="n"/>
      <c r="H36" s="10" t="n"/>
      <c r="I36" s="11">
        <f>IF(COUNT(F36:H36)=0,"",SUM(F36:H36))</f>
        <v/>
      </c>
      <c r="J36" s="11">
        <f>IF(I36="","",IF(I36&gt;=27,"★ Elite",IF(I36&gt;=21,"Strong",IF(I36&gt;=15,"Fair","Weak"))))</f>
        <v/>
      </c>
    </row>
    <row r="37">
      <c r="B37" s="8" t="n">
        <v>33</v>
      </c>
      <c r="C37" s="9" t="n"/>
      <c r="D37" s="9" t="n"/>
      <c r="E37" s="9" t="n"/>
      <c r="F37" s="10" t="n"/>
      <c r="G37" s="10" t="n"/>
      <c r="H37" s="10" t="n"/>
      <c r="I37" s="11">
        <f>IF(COUNT(F37:H37)=0,"",SUM(F37:H37))</f>
        <v/>
      </c>
      <c r="J37" s="11">
        <f>IF(I37="","",IF(I37&gt;=27,"★ Elite",IF(I37&gt;=21,"Strong",IF(I37&gt;=15,"Fair","Weak"))))</f>
        <v/>
      </c>
    </row>
    <row r="38">
      <c r="B38" s="8" t="n">
        <v>34</v>
      </c>
      <c r="C38" s="9" t="n"/>
      <c r="D38" s="9" t="n"/>
      <c r="E38" s="9" t="n"/>
      <c r="F38" s="10" t="n"/>
      <c r="G38" s="10" t="n"/>
      <c r="H38" s="10" t="n"/>
      <c r="I38" s="11">
        <f>IF(COUNT(F38:H38)=0,"",SUM(F38:H38))</f>
        <v/>
      </c>
      <c r="J38" s="11">
        <f>IF(I38="","",IF(I38&gt;=27,"★ Elite",IF(I38&gt;=21,"Strong",IF(I38&gt;=15,"Fair","Weak"))))</f>
        <v/>
      </c>
    </row>
    <row r="39">
      <c r="B39" s="8" t="n">
        <v>35</v>
      </c>
      <c r="C39" s="9" t="n"/>
      <c r="D39" s="9" t="n"/>
      <c r="E39" s="9" t="n"/>
      <c r="F39" s="10" t="n"/>
      <c r="G39" s="10" t="n"/>
      <c r="H39" s="10" t="n"/>
      <c r="I39" s="11">
        <f>IF(COUNT(F39:H39)=0,"",SUM(F39:H39))</f>
        <v/>
      </c>
      <c r="J39" s="11">
        <f>IF(I39="","",IF(I39&gt;=27,"★ Elite",IF(I39&gt;=21,"Strong",IF(I39&gt;=15,"Fair","Weak"))))</f>
        <v/>
      </c>
    </row>
    <row r="40">
      <c r="B40" s="8" t="n">
        <v>36</v>
      </c>
      <c r="C40" s="9" t="n"/>
      <c r="D40" s="9" t="n"/>
      <c r="E40" s="9" t="n"/>
      <c r="F40" s="10" t="n"/>
      <c r="G40" s="10" t="n"/>
      <c r="H40" s="10" t="n"/>
      <c r="I40" s="11">
        <f>IF(COUNT(F40:H40)=0,"",SUM(F40:H40))</f>
        <v/>
      </c>
      <c r="J40" s="11">
        <f>IF(I40="","",IF(I40&gt;=27,"★ Elite",IF(I40&gt;=21,"Strong",IF(I40&gt;=15,"Fair","Weak"))))</f>
        <v/>
      </c>
    </row>
    <row r="41">
      <c r="B41" s="8" t="n">
        <v>37</v>
      </c>
      <c r="C41" s="9" t="n"/>
      <c r="D41" s="9" t="n"/>
      <c r="E41" s="9" t="n"/>
      <c r="F41" s="10" t="n"/>
      <c r="G41" s="10" t="n"/>
      <c r="H41" s="10" t="n"/>
      <c r="I41" s="11">
        <f>IF(COUNT(F41:H41)=0,"",SUM(F41:H41))</f>
        <v/>
      </c>
      <c r="J41" s="11">
        <f>IF(I41="","",IF(I41&gt;=27,"★ Elite",IF(I41&gt;=21,"Strong",IF(I41&gt;=15,"Fair","Weak"))))</f>
        <v/>
      </c>
    </row>
    <row r="42">
      <c r="B42" s="8" t="n">
        <v>38</v>
      </c>
      <c r="C42" s="9" t="n"/>
      <c r="D42" s="9" t="n"/>
      <c r="E42" s="9" t="n"/>
      <c r="F42" s="10" t="n"/>
      <c r="G42" s="10" t="n"/>
      <c r="H42" s="10" t="n"/>
      <c r="I42" s="11">
        <f>IF(COUNT(F42:H42)=0,"",SUM(F42:H42))</f>
        <v/>
      </c>
      <c r="J42" s="11">
        <f>IF(I42="","",IF(I42&gt;=27,"★ Elite",IF(I42&gt;=21,"Strong",IF(I42&gt;=15,"Fair","Weak"))))</f>
        <v/>
      </c>
    </row>
    <row r="43">
      <c r="B43" s="8" t="n">
        <v>39</v>
      </c>
      <c r="C43" s="9" t="n"/>
      <c r="D43" s="9" t="n"/>
      <c r="E43" s="9" t="n"/>
      <c r="F43" s="10" t="n"/>
      <c r="G43" s="10" t="n"/>
      <c r="H43" s="10" t="n"/>
      <c r="I43" s="11">
        <f>IF(COUNT(F43:H43)=0,"",SUM(F43:H43))</f>
        <v/>
      </c>
      <c r="J43" s="11">
        <f>IF(I43="","",IF(I43&gt;=27,"★ Elite",IF(I43&gt;=21,"Strong",IF(I43&gt;=15,"Fair","Weak"))))</f>
        <v/>
      </c>
    </row>
    <row r="44">
      <c r="B44" s="8" t="n">
        <v>40</v>
      </c>
      <c r="C44" s="9" t="n"/>
      <c r="D44" s="9" t="n"/>
      <c r="E44" s="9" t="n"/>
      <c r="F44" s="10" t="n"/>
      <c r="G44" s="10" t="n"/>
      <c r="H44" s="10" t="n"/>
      <c r="I44" s="11">
        <f>IF(COUNT(F44:H44)=0,"",SUM(F44:H44))</f>
        <v/>
      </c>
      <c r="J44" s="11">
        <f>IF(I44="","",IF(I44&gt;=27,"★ Elite",IF(I44&gt;=21,"Strong",IF(I44&gt;=15,"Fair","Weak"))))</f>
        <v/>
      </c>
    </row>
  </sheetData>
  <conditionalFormatting sqref="I5:I44">
    <cfRule type="colorScale" priority="1">
      <colorScale>
        <cfvo type="num" val="0"/>
        <cfvo type="num" val="15"/>
        <cfvo type="num" val="30"/>
        <color rgb="00F8696B"/>
        <color rgb="00FFEB84"/>
        <color rgb="0063BE7B"/>
      </colorScale>
    </cfRule>
  </conditionalFormatting>
  <conditionalFormatting sqref="C5:C44">
    <cfRule type="cellIs" priority="2" operator="equal" dxfId="0">
      <formula>"NeoBerlin"</formula>
    </cfRule>
  </conditionalFormatting>
  <dataValidations count="2">
    <dataValidation sqref="F5:H44" showDropDown="0" showInputMessage="0" showErrorMessage="1" allowBlank="1" errorTitle="Invalid score" error="Enter a whole number 0–10." type="whole" operator="between">
      <formula1>0</formula1>
      <formula2>10</formula2>
    </dataValidation>
    <dataValidation sqref="E5:E44" showDropDown="0" showInputMessage="0" showErrorMessage="0" allowBlank="1" type="list">
      <formula1>$M$5:$M$8</formula1>
    </dataValidation>
  </dataValidations>
  <pageMargins left="0.75" right="0.75" top="1" bottom="1" header="0.5" footer="0.5"/>
</worksheet>
</file>

<file path=xl/worksheets/sheet3.xml><?xml version="1.0" encoding="utf-8"?>
<worksheet xmlns="http://schemas.openxmlformats.org/spreadsheetml/2006/main">
  <sheetPr>
    <tabColor rgb="006AAA64"/>
    <outlinePr summaryBelow="1" summaryRight="1"/>
    <pageSetUpPr/>
  </sheetPr>
  <dimension ref="B2:J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2" max="2"/>
    <col width="20" customWidth="1" min="3" max="3"/>
    <col width="14" customWidth="1" min="4" max="4"/>
    <col width="10" customWidth="1" min="5" max="5"/>
    <col width="12" customWidth="1" min="6" max="6"/>
    <col width="11" customWidth="1" min="7" max="7"/>
    <col width="9" customWidth="1" min="8" max="8"/>
    <col width="14" customWidth="1" min="9" max="9"/>
    <col width="8" customWidth="1" min="10" max="10"/>
  </cols>
  <sheetData>
    <row r="2">
      <c r="B2" s="1" t="inlineStr">
        <is>
          <t>LEADERBOARD  ·  overall = sum of best submission per event</t>
        </is>
      </c>
    </row>
    <row r="4">
      <c r="B4" s="6" t="inlineStr">
        <is>
          <t>Rank</t>
        </is>
      </c>
      <c r="C4" s="6" t="inlineStr">
        <is>
          <t>Mind</t>
        </is>
      </c>
      <c r="D4" s="6" t="inlineStr">
        <is>
          <t>Steward</t>
        </is>
      </c>
      <c r="E4" s="6" t="inlineStr">
        <is>
          <t>Research</t>
        </is>
      </c>
      <c r="F4" s="6" t="inlineStr">
        <is>
          <t>Mindsheets</t>
        </is>
      </c>
      <c r="G4" s="6" t="inlineStr">
        <is>
          <t>Crossword</t>
        </is>
      </c>
      <c r="H4" s="6" t="inlineStr">
        <is>
          <t>Calm</t>
        </is>
      </c>
      <c r="I4" s="6" t="inlineStr">
        <is>
          <t>Overall /120</t>
        </is>
      </c>
      <c r="J4" s="6" t="inlineStr">
        <is>
          <t>Medal</t>
        </is>
      </c>
    </row>
    <row r="5">
      <c r="B5" s="13">
        <f>RANK(I5,$I$5:$I$7)</f>
        <v/>
      </c>
      <c r="C5" s="14" t="inlineStr">
        <is>
          <t>NeoBerlin</t>
        </is>
      </c>
      <c r="D5" s="15">
        <f>IFERROR(INDEX(Submissions!$D:$D,MATCH($C5,Submissions!$C:$C,0)),"")</f>
        <v/>
      </c>
      <c r="E5" s="16">
        <f>SUMIFS(Submissions!$I:$I,Submissions!$C:$C,$C5,Submissions!$E:$E,"More Minds are better than one Mind: Research Quest")</f>
        <v/>
      </c>
      <c r="F5" s="16">
        <f>SUMIFS(Submissions!$I:$I,Submissions!$C:$C,$C5,Submissions!$E:$E,"Mindsheets Masterpiece and Debugging")</f>
        <v/>
      </c>
      <c r="G5" s="16">
        <f>SUMIFS(Submissions!$I:$I,Submissions!$C:$C,$C5,Submissions!$E:$E,"Cross Word Puzzle")</f>
        <v/>
      </c>
      <c r="H5" s="16">
        <f>SUMIFS(Submissions!$I:$I,Submissions!$C:$C,$C5,Submissions!$E:$E,"Calm before the Storm")</f>
        <v/>
      </c>
      <c r="I5" s="17">
        <f>SUM(E5:H5)</f>
        <v/>
      </c>
      <c r="J5" s="15">
        <f>IF(B5=1,"🥇",IF(B5=2,"🥈",IF(B5=3,"🥉","")))</f>
        <v/>
      </c>
    </row>
    <row r="6">
      <c r="B6" s="13">
        <f>RANK(I6,$I$5:$I$7)</f>
        <v/>
      </c>
      <c r="C6" s="18" t="inlineStr">
        <is>
          <t>Minty</t>
        </is>
      </c>
      <c r="D6" s="15">
        <f>IFERROR(INDEX(Submissions!$D:$D,MATCH($C6,Submissions!$C:$C,0)),"")</f>
        <v/>
      </c>
      <c r="E6" s="16">
        <f>SUMIFS(Submissions!$I:$I,Submissions!$C:$C,$C6,Submissions!$E:$E,"More Minds are better than one Mind: Research Quest")</f>
        <v/>
      </c>
      <c r="F6" s="16">
        <f>SUMIFS(Submissions!$I:$I,Submissions!$C:$C,$C6,Submissions!$E:$E,"Mindsheets Masterpiece and Debugging")</f>
        <v/>
      </c>
      <c r="G6" s="16">
        <f>SUMIFS(Submissions!$I:$I,Submissions!$C:$C,$C6,Submissions!$E:$E,"Cross Word Puzzle")</f>
        <v/>
      </c>
      <c r="H6" s="16">
        <f>SUMIFS(Submissions!$I:$I,Submissions!$C:$C,$C6,Submissions!$E:$E,"Calm before the Storm")</f>
        <v/>
      </c>
      <c r="I6" s="17">
        <f>SUM(E6:H6)</f>
        <v/>
      </c>
      <c r="J6" s="15">
        <f>IF(B6=1,"🥇",IF(B6=2,"🥈",IF(B6=3,"🥉","")))</f>
        <v/>
      </c>
    </row>
    <row r="7">
      <c r="B7" s="13">
        <f>RANK(I7,$I$5:$I$7)</f>
        <v/>
      </c>
      <c r="C7" s="18" t="inlineStr">
        <is>
          <t>VARgentina</t>
        </is>
      </c>
      <c r="D7" s="15">
        <f>IFERROR(INDEX(Submissions!$D:$D,MATCH($C7,Submissions!$C:$C,0)),"")</f>
        <v/>
      </c>
      <c r="E7" s="16">
        <f>SUMIFS(Submissions!$I:$I,Submissions!$C:$C,$C7,Submissions!$E:$E,"More Minds are better than one Mind: Research Quest")</f>
        <v/>
      </c>
      <c r="F7" s="16">
        <f>SUMIFS(Submissions!$I:$I,Submissions!$C:$C,$C7,Submissions!$E:$E,"Mindsheets Masterpiece and Debugging")</f>
        <v/>
      </c>
      <c r="G7" s="16">
        <f>SUMIFS(Submissions!$I:$I,Submissions!$C:$C,$C7,Submissions!$E:$E,"Cross Word Puzzle")</f>
        <v/>
      </c>
      <c r="H7" s="16">
        <f>SUMIFS(Submissions!$I:$I,Submissions!$C:$C,$C7,Submissions!$E:$E,"Calm before the Storm")</f>
        <v/>
      </c>
      <c r="I7" s="17">
        <f>SUM(E7:H7)</f>
        <v/>
      </c>
      <c r="J7" s="15">
        <f>IF(B7=1,"🥇",IF(B7=2,"🥈",IF(B7=3,"🥉","")))</f>
        <v/>
      </c>
    </row>
  </sheetData>
  <conditionalFormatting sqref="I5:I7">
    <cfRule type="colorScale" priority="1">
      <colorScale>
        <cfvo type="min"/>
        <cfvo type="max"/>
        <color rgb="00FFEB84"/>
        <color rgb="0063BE7B"/>
      </colorScale>
    </cfRule>
  </conditionalFormatting>
  <conditionalFormatting sqref="B5:J7">
    <cfRule type="expression" priority="2" dxfId="1">
      <formula>$B5=1</formula>
    </cfRule>
  </conditionalFormatting>
  <pageMargins left="0.75" right="0.75" top="1" bottom="1" header="0.5" footer="0.5"/>
</worksheet>
</file>

<file path=xl/worksheets/sheet4.xml><?xml version="1.0" encoding="utf-8"?>
<worksheet xmlns="http://schemas.openxmlformats.org/spreadsheetml/2006/main">
  <sheetPr>
    <tabColor rgb="008B5CF6"/>
    <outlinePr summaryBelow="1" summaryRight="1"/>
    <pageSetUpPr/>
  </sheetPr>
  <dimension ref="B2:M14"/>
  <sheetViews>
    <sheetView showGridLines="0" workbookViewId="0">
      <selection activeCell="A1" sqref="A1"/>
    </sheetView>
  </sheetViews>
  <sheetFormatPr baseColWidth="8" defaultRowHeight="15"/>
  <cols>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s>
  <sheetData>
    <row r="2">
      <c r="B2" s="1" t="inlineStr">
        <is>
          <t>DASHBOARD</t>
        </is>
      </c>
    </row>
    <row r="3">
      <c r="B3" s="2" t="inlineStr">
        <is>
          <t>Live KPIs &amp; standings — all driven by the Leaderboard tab</t>
        </is>
      </c>
    </row>
    <row r="5">
      <c r="B5" s="19" t="inlineStr">
        <is>
          <t>LEADER</t>
        </is>
      </c>
      <c r="C5" s="20" t="n"/>
      <c r="D5" s="20" t="n"/>
      <c r="E5" s="19" t="inlineStr">
        <is>
          <t>TOP OVERALL /120</t>
        </is>
      </c>
      <c r="F5" s="20" t="n"/>
      <c r="G5" s="20" t="n"/>
      <c r="H5" s="19" t="inlineStr">
        <is>
          <t>NEOBERLIN OVERALL</t>
        </is>
      </c>
      <c r="I5" s="20" t="n"/>
      <c r="J5" s="20" t="n"/>
      <c r="K5" s="19" t="inlineStr">
        <is>
          <t>GAP TO LEADER</t>
        </is>
      </c>
      <c r="L5" s="20" t="n"/>
      <c r="M5" s="20" t="n"/>
    </row>
    <row r="6">
      <c r="B6" s="21">
        <f>INDEX(Leaderboard!C:C,MATCH(1,Leaderboard!B:B,0))</f>
        <v/>
      </c>
      <c r="C6" s="20" t="n"/>
      <c r="D6" s="20" t="n"/>
      <c r="E6" s="21">
        <f>MAX(Leaderboard!I:I)</f>
        <v/>
      </c>
      <c r="F6" s="20" t="n"/>
      <c r="G6" s="20" t="n"/>
      <c r="H6" s="21">
        <f>INDEX(Leaderboard!I:I,MATCH("NeoBerlin",Leaderboard!C:C,0))</f>
        <v/>
      </c>
      <c r="I6" s="20" t="n"/>
      <c r="J6" s="20" t="n"/>
      <c r="K6" s="21">
        <f>MAX(Leaderboard!I:I)-INDEX(Leaderboard!I:I,MATCH("NeoBerlin",Leaderboard!C:C,0))</f>
        <v/>
      </c>
      <c r="L6" s="20" t="n"/>
      <c r="M6" s="20" t="n"/>
    </row>
    <row r="7">
      <c r="B7" s="20" t="n"/>
      <c r="C7" s="20" t="n"/>
      <c r="D7" s="20" t="n"/>
      <c r="E7" s="20" t="n"/>
      <c r="F7" s="20" t="n"/>
      <c r="G7" s="20" t="n"/>
      <c r="H7" s="20" t="n"/>
      <c r="I7" s="20" t="n"/>
      <c r="J7" s="20" t="n"/>
      <c r="K7" s="20" t="n"/>
      <c r="L7" s="20" t="n"/>
      <c r="M7" s="20" t="n"/>
    </row>
    <row r="10">
      <c r="B10" s="22" t="inlineStr">
        <is>
          <t>Standings</t>
        </is>
      </c>
    </row>
    <row r="11">
      <c r="B11" s="5" t="inlineStr">
        <is>
          <t>Mind</t>
        </is>
      </c>
      <c r="C11" s="5" t="inlineStr">
        <is>
          <t>Overall</t>
        </is>
      </c>
    </row>
    <row r="12">
      <c r="B12" s="23">
        <f>Leaderboard!C5</f>
        <v/>
      </c>
      <c r="C12" s="15">
        <f>Leaderboard!I5</f>
        <v/>
      </c>
    </row>
    <row r="13">
      <c r="B13" s="23">
        <f>Leaderboard!C6</f>
        <v/>
      </c>
      <c r="C13" s="15">
        <f>Leaderboard!I6</f>
        <v/>
      </c>
    </row>
    <row r="14">
      <c r="B14" s="23">
        <f>Leaderboard!C7</f>
        <v/>
      </c>
      <c r="C14" s="15">
        <f>Leaderboard!I7</f>
        <v/>
      </c>
    </row>
  </sheetData>
  <mergeCells count="8">
    <mergeCell ref="E6:G7"/>
    <mergeCell ref="H6:J7"/>
    <mergeCell ref="B5:D5"/>
    <mergeCell ref="B6:D7"/>
    <mergeCell ref="E5:G5"/>
    <mergeCell ref="K5:M5"/>
    <mergeCell ref="H5:J5"/>
    <mergeCell ref="K6:M7"/>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tabColor rgb="00C9B458"/>
    <outlinePr summaryBelow="1" summaryRight="1"/>
    <pageSetUpPr/>
  </sheetPr>
  <dimension ref="B2:G16"/>
  <sheetViews>
    <sheetView showGridLines="0" workbookViewId="0">
      <selection activeCell="A1" sqref="A1"/>
    </sheetView>
  </sheetViews>
  <sheetFormatPr baseColWidth="8" defaultRowHeight="15"/>
  <cols>
    <col width="3" customWidth="1" min="2" max="2"/>
    <col width="20" customWidth="1" min="3" max="3"/>
    <col width="10" customWidth="1" min="4" max="4"/>
    <col width="12" customWidth="1" min="5" max="5"/>
    <col width="20" customWidth="1" min="6" max="6"/>
    <col width="14" customWidth="1" min="7" max="7"/>
    <col width="14" customWidth="1" min="8" max="8"/>
    <col width="14" customWidth="1" min="9" max="9"/>
  </cols>
  <sheetData>
    <row r="2">
      <c r="B2" s="1" t="inlineStr">
        <is>
          <t>REWARD SIMULATOR</t>
        </is>
      </c>
    </row>
    <row r="3">
      <c r="B3" s="2" t="inlineStr">
        <is>
          <t>Split a prize pool fairly: quadratic-merit weighting + steward binding (anti-sybil)</t>
        </is>
      </c>
    </row>
    <row r="5">
      <c r="B5" s="24" t="inlineStr">
        <is>
          <t>Prize pool (ETH)</t>
        </is>
      </c>
      <c r="D5" s="25" t="n">
        <v>3</v>
      </c>
      <c r="E5" s="2" t="inlineStr">
        <is>
          <t>← input the pool</t>
        </is>
      </c>
    </row>
    <row r="7">
      <c r="B7" s="6" t="inlineStr">
        <is>
          <t>Steward</t>
        </is>
      </c>
      <c r="C7" s="6" t="inlineStr">
        <is>
          <t>Minds</t>
        </is>
      </c>
      <c r="D7" s="6" t="inlineStr">
        <is>
          <t>Σ merit</t>
        </is>
      </c>
      <c r="E7" s="6" t="inlineStr">
        <is>
          <t>Weight = √merit</t>
        </is>
      </c>
      <c r="F7" s="6" t="inlineStr">
        <is>
          <t>Share %</t>
        </is>
      </c>
      <c r="G7" s="6" t="inlineStr">
        <is>
          <t>Payout (ETH)</t>
        </is>
      </c>
    </row>
    <row r="8">
      <c r="B8" s="23" t="inlineStr">
        <is>
          <t>Steward</t>
        </is>
      </c>
      <c r="C8" s="26" t="n">
        <v>1</v>
      </c>
      <c r="D8" s="15">
        <f>Leaderboard!I5</f>
        <v/>
      </c>
      <c r="E8" s="27">
        <f>SQRT(D8)</f>
        <v/>
      </c>
      <c r="F8" s="28">
        <f>IF(SUM($E$8:$E$11)=0,0,E8/SUM($E$8:$E$11))</f>
        <v/>
      </c>
      <c r="G8" s="29">
        <f>$D$5*F8</f>
        <v/>
      </c>
    </row>
    <row r="9">
      <c r="B9" s="23" t="inlineStr">
        <is>
          <t>nip0r</t>
        </is>
      </c>
      <c r="C9" s="26" t="n">
        <v>1</v>
      </c>
      <c r="D9" s="15">
        <f>Leaderboard!I6</f>
        <v/>
      </c>
      <c r="E9" s="27">
        <f>SQRT(D9)</f>
        <v/>
      </c>
      <c r="F9" s="28">
        <f>IF(SUM($E$8:$E$11)=0,0,E9/SUM($E$8:$E$11))</f>
        <v/>
      </c>
      <c r="G9" s="29">
        <f>$D$5*F9</f>
        <v/>
      </c>
    </row>
    <row r="10">
      <c r="B10" s="23" t="inlineStr">
        <is>
          <t>Michael</t>
        </is>
      </c>
      <c r="C10" s="26" t="n">
        <v>1</v>
      </c>
      <c r="D10" s="15">
        <f>Leaderboard!I7</f>
        <v/>
      </c>
      <c r="E10" s="27">
        <f>SQRT(D10)</f>
        <v/>
      </c>
      <c r="F10" s="28">
        <f>IF(SUM($E$8:$E$11)=0,0,E10/SUM($E$8:$E$11))</f>
        <v/>
      </c>
      <c r="G10" s="29">
        <f>$D$5*F10</f>
        <v/>
      </c>
    </row>
    <row r="11">
      <c r="B11" s="23" t="inlineStr">
        <is>
          <t>SybilFarm</t>
        </is>
      </c>
      <c r="C11" s="26" t="n">
        <v>12</v>
      </c>
      <c r="D11" s="26">
        <f>C11*2</f>
        <v/>
      </c>
      <c r="E11" s="27">
        <f>SQRT(D11)</f>
        <v/>
      </c>
      <c r="F11" s="28">
        <f>IF(SUM($E$8:$E$11)=0,0,E11/SUM($E$8:$E$11))</f>
        <v/>
      </c>
      <c r="G11" s="29">
        <f>$D$5*F11</f>
        <v/>
      </c>
    </row>
    <row r="12">
      <c r="B12" s="30" t="inlineStr">
        <is>
          <t>TOTAL</t>
        </is>
      </c>
      <c r="C12" s="31" t="n"/>
      <c r="D12" s="31" t="n"/>
      <c r="E12" s="31" t="n"/>
      <c r="F12" s="32">
        <f>SUM(F8:F11)</f>
        <v/>
      </c>
      <c r="G12" s="33">
        <f>SUM(G8:G11)</f>
        <v/>
      </c>
    </row>
    <row r="14">
      <c r="B14" s="2" t="inlineStr">
        <is>
          <t>Why √merit? A sybil farm with 12 low-merit Minds gets weight √120≈11, not 120 —</t>
        </is>
      </c>
    </row>
    <row r="15">
      <c r="B15" s="2" t="inlineStr">
        <is>
          <t>so flooding the tournament with fake Minds barely moves its payout. Steward binding</t>
        </is>
      </c>
    </row>
    <row r="16">
      <c r="B16" s="2" t="inlineStr">
        <is>
          <t>pools all of a steward's Minds into ONE bucket, removing the multiply-by-Minds exploit.</t>
        </is>
      </c>
    </row>
  </sheetData>
  <conditionalFormatting sqref="G8:G11">
    <cfRule type="colorScale" priority="1">
      <colorScale>
        <cfvo type="min"/>
        <cfvo type="max"/>
        <color rgb="00F8696B"/>
        <color rgb="0063BE7B"/>
      </colorScale>
    </cfRule>
  </conditionalFormatting>
  <pageMargins left="0.75" right="0.75" top="1" bottom="1" header="0.5" footer="0.5"/>
</worksheet>
</file>

<file path=xl/worksheets/sheet6.xml><?xml version="1.0" encoding="utf-8"?>
<worksheet xmlns="http://schemas.openxmlformats.org/spreadsheetml/2006/main">
  <sheetPr>
    <tabColor rgb="006B7280"/>
    <outlinePr summaryBelow="1" summaryRight="1"/>
    <pageSetUpPr/>
  </sheetPr>
  <dimension ref="B2:G9"/>
  <sheetViews>
    <sheetView showGridLines="0" workbookViewId="0">
      <selection activeCell="A1" sqref="A1"/>
    </sheetView>
  </sheetViews>
  <sheetFormatPr baseColWidth="8" defaultRowHeight="15"/>
  <cols>
    <col width="5" customWidth="1" min="2" max="2"/>
    <col width="34" customWidth="1" min="3" max="3"/>
    <col width="30" customWidth="1" min="4" max="4"/>
    <col width="26" customWidth="1" min="5" max="5"/>
    <col width="26" customWidth="1" min="6" max="6"/>
    <col width="8" customWidth="1" min="7" max="7"/>
  </cols>
  <sheetData>
    <row r="2">
      <c r="B2" s="1" t="inlineStr">
        <is>
          <t>TESTING LOG  ·  human-verified</t>
        </is>
      </c>
    </row>
    <row r="3">
      <c r="B3" s="2" t="inlineStr">
        <is>
          <t>The Mind proposes inputs &amp; expected outputs; the human steward enters them and reports observed.</t>
        </is>
      </c>
    </row>
    <row r="5">
      <c r="B5" s="6" t="inlineStr">
        <is>
          <t>#</t>
        </is>
      </c>
      <c r="C5" s="6" t="inlineStr">
        <is>
          <t>Test case</t>
        </is>
      </c>
      <c r="D5" s="6" t="inlineStr">
        <is>
          <t>Input (cell = value)</t>
        </is>
      </c>
      <c r="E5" s="6" t="inlineStr">
        <is>
          <t>Expected</t>
        </is>
      </c>
      <c r="F5" s="6" t="inlineStr">
        <is>
          <t>Observed (human)</t>
        </is>
      </c>
      <c r="G5" s="6" t="inlineStr">
        <is>
          <t>Pass?</t>
        </is>
      </c>
    </row>
    <row r="6">
      <c r="B6" s="34" t="n">
        <v>1</v>
      </c>
      <c r="C6" s="35" t="inlineStr">
        <is>
          <t>New submission totals correctly</t>
        </is>
      </c>
      <c r="D6" s="35" t="inlineStr">
        <is>
          <t>F14=9; G14=8; H14=7</t>
        </is>
      </c>
      <c r="E6" s="35" t="inlineStr">
        <is>
          <t>I14 = 24; Grade = Strong</t>
        </is>
      </c>
      <c r="F6" s="9" t="inlineStr">
        <is>
          <t>24; Strong</t>
        </is>
      </c>
      <c r="G6" s="10" t="inlineStr">
        <is>
          <t>Pass</t>
        </is>
      </c>
    </row>
    <row r="7">
      <c r="B7" s="34" t="n">
        <v>2</v>
      </c>
      <c r="C7" s="35" t="inlineStr">
        <is>
          <t>Reward pool splits &amp; dampens sybil</t>
        </is>
      </c>
      <c r="D7" s="35" t="inlineStr">
        <is>
          <t>D5 = 3.0; C11 (SybilFarm Minds) = 12</t>
        </is>
      </c>
      <c r="E7" s="35" t="inlineStr">
        <is>
          <t>TOTAL payout = 3.0000; SybilFarm &lt; Rob</t>
        </is>
      </c>
      <c r="F7" s="9" t="inlineStr">
        <is>
          <t>3.0000; 0.4686 &lt; 0.8609</t>
        </is>
      </c>
      <c r="G7" s="10" t="inlineStr">
        <is>
          <t>Pass</t>
        </is>
      </c>
    </row>
    <row r="9">
      <c r="B9" s="36" t="inlineStr">
        <is>
          <t>Status: Ready — both test cases run by the human steward and passed.</t>
        </is>
      </c>
    </row>
  </sheetData>
  <pageMargins left="0.75" right="0.75" top="1" bottom="1" header="0.5" footer="0.5"/>
</worksheet>
</file>

<file path=xl/worksheets/sheet7.xml><?xml version="1.0" encoding="utf-8"?>
<worksheet xmlns="http://schemas.openxmlformats.org/spreadsheetml/2006/main">
  <sheetPr>
    <tabColor rgb="006AAA64"/>
    <outlinePr summaryBelow="1" summaryRight="1"/>
    <pageSetUpPr/>
  </sheetPr>
  <dimension ref="B2:L15"/>
  <sheetViews>
    <sheetView showGridLines="0" workbookViewId="0">
      <selection activeCell="A1" sqref="A1"/>
    </sheetView>
  </sheetViews>
  <sheetFormatPr baseColWidth="8" defaultRowHeight="15"/>
  <cols>
    <col width="28" customWidth="1" min="2" max="2"/>
    <col width="7" customWidth="1" min="3" max="3"/>
    <col width="7" customWidth="1" min="4" max="4"/>
    <col width="5" customWidth="1" min="5" max="5"/>
    <col width="12" customWidth="1" min="6" max="6"/>
    <col width="9" customWidth="1" min="7" max="7"/>
    <col width="15" customWidth="1" min="8" max="8"/>
    <col width="20" customWidth="1" min="9" max="9"/>
    <col width="26" customWidth="1" min="10" max="10"/>
    <col width="14" customWidth="1" min="11" max="11"/>
    <col width="24" customWidth="1" min="12" max="12"/>
  </cols>
  <sheetData>
    <row r="2">
      <c r="B2" s="1" t="inlineStr">
        <is>
          <t>NEXT BEST MOVE  ·  where should the next attempt go?</t>
        </is>
      </c>
    </row>
    <row r="3">
      <c r="B3" s="2" t="inlineStr">
        <is>
          <t>Expected value of ONE more attempt, per event. Only light-blue cells are inputs. mu = average of the last two scores (steward's choice); sigma = spread of all scores so far.</t>
        </is>
      </c>
    </row>
    <row r="5">
      <c r="B5" s="6" t="inlineStr">
        <is>
          <t>Event</t>
        </is>
      </c>
      <c r="C5" s="6" t="inlineStr">
        <is>
          <t>Best</t>
        </is>
      </c>
      <c r="D5" s="6" t="inlineStr">
        <is>
          <t>Left</t>
        </is>
      </c>
      <c r="E5" s="6" t="inlineStr">
        <is>
          <t>n</t>
        </is>
      </c>
      <c r="F5" s="6" t="inlineStr">
        <is>
          <t>mu (last 2)</t>
        </is>
      </c>
      <c r="G5" s="6" t="inlineStr">
        <is>
          <t>sigma</t>
        </is>
      </c>
      <c r="H5" s="6" t="inlineStr">
        <is>
          <t>P(next &gt; best)</t>
        </is>
      </c>
      <c r="I5" s="6" t="inlineStr">
        <is>
          <t>EV of next attempt</t>
        </is>
      </c>
      <c r="J5" s="6" t="inlineStr">
        <is>
          <t>Verdict</t>
        </is>
      </c>
      <c r="K5" s="6" t="inlineStr">
        <is>
          <t>eligible EV</t>
        </is>
      </c>
      <c r="L5" s="6" t="inlineStr">
        <is>
          <t>EV bar</t>
        </is>
      </c>
    </row>
    <row r="6">
      <c r="B6" s="35" t="inlineStr">
        <is>
          <t>More Minds are better than one</t>
        </is>
      </c>
      <c r="C6" s="10" t="n">
        <v>28</v>
      </c>
      <c r="D6" s="10" t="n">
        <v>1</v>
      </c>
      <c r="E6" s="34" t="n">
        <v>5</v>
      </c>
      <c r="F6" s="10" t="n">
        <v>26.5</v>
      </c>
      <c r="G6" s="10" t="n">
        <v>1.52</v>
      </c>
      <c r="H6" s="37">
        <f>IF($E6&lt;2,"n/a",1-NORMDIST($C6,$F6,$G6,TRUE))</f>
        <v/>
      </c>
      <c r="I6" s="38">
        <f>IF($E6&lt;2,"insufficient history",$C6*NORMDIST($C6,$F6,$G6,TRUE)+$F6*(1-NORMDIST($C6,$F6,$G6,TRUE))+$G6*$G6*NORMDIST($C6,$F6,$G6,FALSE)-$C6)</f>
        <v/>
      </c>
      <c r="J6" s="39">
        <f>IF($E6&lt;2,"need &gt;=2 scores",IF($D6=0,"no attempts left",IF($I6&gt;=0.5,"SHOOT — best use of an attempt",IF($I6&gt;=0.15,"worthwhile","low return"))))</f>
        <v/>
      </c>
      <c r="K6" s="40">
        <f>IF(AND($D6&gt;0,$E6&gt;=2),$I6,-999)</f>
        <v/>
      </c>
      <c r="L6" s="41">
        <f>IF($E6&lt;2,"",REPT("|",ROUND(MAX($I6,0)*20,0)))</f>
        <v/>
      </c>
    </row>
    <row r="7">
      <c r="B7" s="35" t="inlineStr">
        <is>
          <t>Mindsheets Masterpiece</t>
        </is>
      </c>
      <c r="C7" s="10" t="n">
        <v>25</v>
      </c>
      <c r="D7" s="10" t="n">
        <v>2</v>
      </c>
      <c r="E7" s="34" t="n">
        <v>5</v>
      </c>
      <c r="F7" s="10" t="n">
        <v>23.5</v>
      </c>
      <c r="G7" s="10" t="n">
        <v>4.04</v>
      </c>
      <c r="H7" s="37">
        <f>IF($E7&lt;2,"n/a",1-NORMDIST($C7,$F7,$G7,TRUE))</f>
        <v/>
      </c>
      <c r="I7" s="38">
        <f>IF($E7&lt;2,"insufficient history",$C7*NORMDIST($C7,$F7,$G7,TRUE)+$F7*(1-NORMDIST($C7,$F7,$G7,TRUE))+$G7*$G7*NORMDIST($C7,$F7,$G7,FALSE)-$C7)</f>
        <v/>
      </c>
      <c r="J7" s="39">
        <f>IF($E7&lt;2,"need &gt;=2 scores",IF($D7=0,"no attempts left",IF($I7&gt;=0.5,"SHOOT — best use of an attempt",IF($I7&gt;=0.15,"worthwhile","low return"))))</f>
        <v/>
      </c>
      <c r="K7" s="40">
        <f>IF(AND($D7&gt;0,$E7&gt;=2),$I7,-999)</f>
        <v/>
      </c>
      <c r="L7" s="41">
        <f>IF($E7&lt;2,"",REPT("|",ROUND(MAX($I7,0)*20,0)))</f>
        <v/>
      </c>
    </row>
    <row r="8">
      <c r="B8" s="35" t="inlineStr">
        <is>
          <t>Calm before the Storm</t>
        </is>
      </c>
      <c r="C8" s="10" t="n">
        <v>25</v>
      </c>
      <c r="D8" s="10" t="n">
        <v>2</v>
      </c>
      <c r="E8" s="34" t="n">
        <v>6</v>
      </c>
      <c r="F8" s="10" t="n">
        <v>23.5</v>
      </c>
      <c r="G8" s="10" t="n">
        <v>1.67</v>
      </c>
      <c r="H8" s="37">
        <f>IF($E8&lt;2,"n/a",1-NORMDIST($C8,$F8,$G8,TRUE))</f>
        <v/>
      </c>
      <c r="I8" s="38">
        <f>IF($E8&lt;2,"insufficient history",$C8*NORMDIST($C8,$F8,$G8,TRUE)+$F8*(1-NORMDIST($C8,$F8,$G8,TRUE))+$G8*$G8*NORMDIST($C8,$F8,$G8,FALSE)-$C8)</f>
        <v/>
      </c>
      <c r="J8" s="39">
        <f>IF($E8&lt;2,"need &gt;=2 scores",IF($D8=0,"no attempts left",IF($I8&gt;=0.5,"SHOOT — best use of an attempt",IF($I8&gt;=0.15,"worthwhile","low return"))))</f>
        <v/>
      </c>
      <c r="K8" s="40">
        <f>IF(AND($D8&gt;0,$E8&gt;=2),$I8,-999)</f>
        <v/>
      </c>
      <c r="L8" s="41">
        <f>IF($E8&lt;2,"",REPT("|",ROUND(MAX($I8,0)*20,0)))</f>
        <v/>
      </c>
    </row>
    <row r="9">
      <c r="B9" s="35" t="inlineStr">
        <is>
          <t>Cross Word Puzzle</t>
        </is>
      </c>
      <c r="C9" s="10" t="n">
        <v>25</v>
      </c>
      <c r="D9" s="10" t="n">
        <v>1</v>
      </c>
      <c r="E9" s="34" t="n">
        <v>6</v>
      </c>
      <c r="F9" s="10" t="n">
        <v>22.5</v>
      </c>
      <c r="G9" s="10" t="n">
        <v>1.72</v>
      </c>
      <c r="H9" s="37">
        <f>IF($E9&lt;2,"n/a",1-NORMDIST($C9,$F9,$G9,TRUE))</f>
        <v/>
      </c>
      <c r="I9" s="38">
        <f>IF($E9&lt;2,"insufficient history",$C9*NORMDIST($C9,$F9,$G9,TRUE)+$F9*(1-NORMDIST($C9,$F9,$G9,TRUE))+$G9*$G9*NORMDIST($C9,$F9,$G9,FALSE)-$C9)</f>
        <v/>
      </c>
      <c r="J9" s="39">
        <f>IF($E9&lt;2,"need &gt;=2 scores",IF($D9=0,"no attempts left",IF($I9&gt;=0.5,"SHOOT — best use of an attempt",IF($I9&gt;=0.15,"worthwhile","low return"))))</f>
        <v/>
      </c>
      <c r="K9" s="40">
        <f>IF(AND($D9&gt;0,$E9&gt;=2),$I9,-999)</f>
        <v/>
      </c>
      <c r="L9" s="41">
        <f>IF($E9&lt;2,"",REPT("|",ROUND(MAX($I9,0)*20,0)))</f>
        <v/>
      </c>
    </row>
    <row r="10">
      <c r="B10" s="35" t="inlineStr">
        <is>
          <t>Minds Building Chatbots</t>
        </is>
      </c>
      <c r="C10" s="10" t="n">
        <v>26</v>
      </c>
      <c r="D10" s="10" t="n">
        <v>1</v>
      </c>
      <c r="E10" s="34" t="n">
        <v>7</v>
      </c>
      <c r="F10" s="10" t="n">
        <v>23</v>
      </c>
      <c r="G10" s="10" t="n">
        <v>1.9</v>
      </c>
      <c r="H10" s="37">
        <f>IF($E10&lt;2,"n/a",1-NORMDIST($C10,$F10,$G10,TRUE))</f>
        <v/>
      </c>
      <c r="I10" s="38">
        <f>IF($E10&lt;2,"insufficient history",$C10*NORMDIST($C10,$F10,$G10,TRUE)+$F10*(1-NORMDIST($C10,$F10,$G10,TRUE))+$G10*$G10*NORMDIST($C10,$F10,$G10,FALSE)-$C10)</f>
        <v/>
      </c>
      <c r="J10" s="39">
        <f>IF($E10&lt;2,"need &gt;=2 scores",IF($D10=0,"no attempts left",IF($I10&gt;=0.5,"SHOOT — best use of an attempt",IF($I10&gt;=0.15,"worthwhile","low return"))))</f>
        <v/>
      </c>
      <c r="K10" s="40">
        <f>IF(AND($D10&gt;0,$E10&gt;=2),$I10,-999)</f>
        <v/>
      </c>
      <c r="L10" s="41">
        <f>IF($E10&lt;2,"",REPT("|",ROUND(MAX($I10,0)*20,0)))</f>
        <v/>
      </c>
    </row>
    <row r="11">
      <c r="B11" s="35" t="inlineStr">
        <is>
          <t>AstroMesh: Minds &amp; MCP</t>
        </is>
      </c>
      <c r="C11" s="10" t="n">
        <v>26</v>
      </c>
      <c r="D11" s="10" t="n">
        <v>3</v>
      </c>
      <c r="E11" s="34" t="n">
        <v>5</v>
      </c>
      <c r="F11" s="10" t="n">
        <v>23.5</v>
      </c>
      <c r="G11" s="10" t="n">
        <v>1.3</v>
      </c>
      <c r="H11" s="37">
        <f>IF($E11&lt;2,"n/a",1-NORMDIST($C11,$F11,$G11,TRUE))</f>
        <v/>
      </c>
      <c r="I11" s="38">
        <f>IF($E11&lt;2,"insufficient history",$C11*NORMDIST($C11,$F11,$G11,TRUE)+$F11*(1-NORMDIST($C11,$F11,$G11,TRUE))+$G11*$G11*NORMDIST($C11,$F11,$G11,FALSE)-$C11)</f>
        <v/>
      </c>
      <c r="J11" s="39">
        <f>IF($E11&lt;2,"need &gt;=2 scores",IF($D11=0,"no attempts left",IF($I11&gt;=0.5,"SHOOT — best use of an attempt",IF($I11&gt;=0.15,"worthwhile","low return"))))</f>
        <v/>
      </c>
      <c r="K11" s="40">
        <f>IF(AND($D11&gt;0,$E11&gt;=2),$I11,-999)</f>
        <v/>
      </c>
      <c r="L11" s="41">
        <f>IF($E11&lt;2,"",REPT("|",ROUND(MAX($I11,0)*20,0)))</f>
        <v/>
      </c>
    </row>
    <row r="12">
      <c r="B12" s="35" t="inlineStr">
        <is>
          <t>Special Skills using X</t>
        </is>
      </c>
      <c r="C12" s="10" t="n">
        <v>26</v>
      </c>
      <c r="D12" s="10" t="n">
        <v>7</v>
      </c>
      <c r="E12" s="34" t="n">
        <v>1</v>
      </c>
      <c r="F12" s="10" t="n">
        <v>26</v>
      </c>
      <c r="G12" s="10" t="n">
        <v>1.5</v>
      </c>
      <c r="H12" s="37">
        <f>IF($E12&lt;2,"n/a",1-NORMDIST($C12,$F12,$G12,TRUE))</f>
        <v/>
      </c>
      <c r="I12" s="38">
        <f>IF($E12&lt;2,"insufficient history",$C12*NORMDIST($C12,$F12,$G12,TRUE)+$F12*(1-NORMDIST($C12,$F12,$G12,TRUE))+$G12*$G12*NORMDIST($C12,$F12,$G12,FALSE)-$C12)</f>
        <v/>
      </c>
      <c r="J12" s="39">
        <f>IF($E12&lt;2,"need &gt;=2 scores",IF($D12=0,"no attempts left",IF($I12&gt;=0.5,"SHOOT — best use of an attempt",IF($I12&gt;=0.15,"worthwhile","low return"))))</f>
        <v/>
      </c>
      <c r="K12" s="40">
        <f>IF(AND($D12&gt;0,$E12&gt;=2),$I12,-999)</f>
        <v/>
      </c>
      <c r="L12" s="41">
        <f>IF($E12&lt;2,"",REPT("|",ROUND(MAX($I12,0)*20,0)))</f>
        <v/>
      </c>
    </row>
    <row r="14">
      <c r="B14" s="22" t="inlineStr">
        <is>
          <t>RECOMMENDATION</t>
        </is>
      </c>
      <c r="D14" s="42">
        <f>INDEX($B$6:$B$12,MATCH(MAX($K$6:$K$12),$K$6:$K$12,0))</f>
        <v/>
      </c>
    </row>
    <row r="15">
      <c r="B15" s="2" t="inlineStr">
        <is>
          <t>Caveats, stated rather than hidden: EV assumes the next score is normal around mu. Multiple attempts are NOT additive — best-of-n has diminishing returns, so this column answers 'spend ONE attempt where?' and nothing more. Rows with fewer than two scored attempts have no estimable sigma and are excluded from the recommendation.</t>
        </is>
      </c>
    </row>
  </sheetData>
  <mergeCells count="1">
    <mergeCell ref="B15:J15"/>
  </mergeCells>
  <conditionalFormatting sqref="I6:I12">
    <cfRule type="colorScale" priority="1">
      <colorScale>
        <cfvo type="min"/>
        <cfvo type="max"/>
        <color rgb="00F8D7DA"/>
        <color rgb="00C9E7C4"/>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2026-07-27T16:17:30Z</dcterms:created>
  <dcterms:modified xsi:type="dcterms:W3CDTF">2026-07-27T16:17:30Z</dcterms:modified>
</cp:coreProperties>
</file>